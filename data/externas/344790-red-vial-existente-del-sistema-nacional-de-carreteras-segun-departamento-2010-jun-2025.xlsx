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X:\2_Difusión Información Estadística\11_Publicación Web_Reportes\Estadistica_web_Junio_2025\Marssela\"/>
    </mc:Choice>
  </mc:AlternateContent>
  <xr:revisionPtr revIDLastSave="0" documentId="13_ncr:1_{5513D3E8-9498-46EA-BCF2-48FB812CDCA6}" xr6:coauthVersionLast="47" xr6:coauthVersionMax="47" xr10:uidLastSave="{00000000-0000-0000-0000-000000000000}"/>
  <bookViews>
    <workbookView xWindow="18255" yWindow="945" windowWidth="18930" windowHeight="14535" tabRatio="853" firstSheet="1" activeTab="16" xr2:uid="{00000000-000D-0000-FFFF-FFFF00000000}"/>
  </bookViews>
  <sheets>
    <sheet name="2023" sheetId="14" state="hidden" r:id="rId1"/>
    <sheet name="2010" sheetId="1" r:id="rId2"/>
    <sheet name="2011" sheetId="2" r:id="rId3"/>
    <sheet name="2012" sheetId="3" r:id="rId4"/>
    <sheet name="2013" sheetId="4" r:id="rId5"/>
    <sheet name="2014" sheetId="5" r:id="rId6"/>
    <sheet name="2015" sheetId="6" r:id="rId7"/>
    <sheet name="2016" sheetId="7" r:id="rId8"/>
    <sheet name="2017" sheetId="8" r:id="rId9"/>
    <sheet name="2018" sheetId="9" r:id="rId10"/>
    <sheet name="2019" sheetId="10" r:id="rId11"/>
    <sheet name="2020" sheetId="11" r:id="rId12"/>
    <sheet name="2021" sheetId="12" r:id="rId13"/>
    <sheet name="2022" sheetId="13" r:id="rId14"/>
    <sheet name="2023 " sheetId="16" r:id="rId15"/>
    <sheet name="2024" sheetId="17" r:id="rId16"/>
    <sheet name="2025" sheetId="18" r:id="rId17"/>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47" i="4" l="1"/>
  <c r="AT47" i="4"/>
  <c r="AS47" i="4"/>
  <c r="AR47" i="4"/>
  <c r="AQ47" i="4"/>
  <c r="AP47" i="4"/>
  <c r="AO47" i="4"/>
  <c r="AN47" i="4"/>
  <c r="AK47" i="4"/>
  <c r="AJ47" i="4"/>
  <c r="AI47" i="4"/>
  <c r="AH47" i="4"/>
  <c r="AG47" i="4"/>
  <c r="AF47" i="4"/>
  <c r="AE47" i="4"/>
  <c r="AD47" i="4"/>
  <c r="AA47" i="4"/>
  <c r="Z47" i="4"/>
  <c r="Y47" i="4"/>
  <c r="X47" i="4"/>
  <c r="W47" i="4"/>
  <c r="V47" i="4"/>
  <c r="U47" i="4"/>
  <c r="T47" i="4"/>
  <c r="S47" i="4"/>
  <c r="R47" i="4"/>
  <c r="AK36" i="4"/>
  <c r="AU9" i="4"/>
  <c r="AT9" i="4"/>
  <c r="AS9" i="4"/>
  <c r="AR9" i="4"/>
  <c r="AQ9" i="4"/>
  <c r="AP9" i="4"/>
  <c r="AO9" i="4"/>
  <c r="AN9" i="4"/>
  <c r="AK9" i="4"/>
  <c r="AJ9" i="4"/>
  <c r="AI9" i="4"/>
  <c r="AH9" i="4"/>
  <c r="AG9" i="4"/>
  <c r="AF9" i="4"/>
  <c r="AE9" i="4"/>
  <c r="AD9" i="4"/>
  <c r="AA9" i="4"/>
  <c r="Z9" i="4"/>
  <c r="Y9" i="4"/>
  <c r="X9" i="4"/>
  <c r="W9" i="4"/>
  <c r="V9" i="4"/>
  <c r="U9" i="4"/>
  <c r="T9" i="4"/>
  <c r="S9" i="4"/>
  <c r="R9" i="4"/>
  <c r="O73" i="14" l="1"/>
  <c r="N73" i="14"/>
  <c r="M73" i="14" s="1"/>
  <c r="K73" i="14"/>
  <c r="J73" i="14"/>
  <c r="I73" i="14" s="1"/>
  <c r="G73" i="14"/>
  <c r="F73" i="14"/>
  <c r="E73" i="14"/>
  <c r="O72" i="14"/>
  <c r="N72" i="14"/>
  <c r="M72" i="14"/>
  <c r="K72" i="14"/>
  <c r="J72" i="14"/>
  <c r="I72" i="14" s="1"/>
  <c r="G72" i="14"/>
  <c r="F72" i="14"/>
  <c r="E72" i="14" s="1"/>
  <c r="O71" i="14"/>
  <c r="N71" i="14"/>
  <c r="M71" i="14" s="1"/>
  <c r="K71" i="14"/>
  <c r="J71" i="14"/>
  <c r="I71" i="14"/>
  <c r="G71" i="14"/>
  <c r="F71" i="14"/>
  <c r="E71" i="14" s="1"/>
  <c r="O70" i="14"/>
  <c r="N70" i="14"/>
  <c r="M70" i="14" s="1"/>
  <c r="K70" i="14"/>
  <c r="J70" i="14"/>
  <c r="I70" i="14"/>
  <c r="G70" i="14"/>
  <c r="F70" i="14"/>
  <c r="E70" i="14" s="1"/>
  <c r="C70" i="14" s="1"/>
  <c r="O69" i="14"/>
  <c r="N69" i="14"/>
  <c r="M69" i="14"/>
  <c r="K69" i="14"/>
  <c r="J69" i="14"/>
  <c r="I69" i="14"/>
  <c r="G69" i="14"/>
  <c r="F69" i="14"/>
  <c r="E69" i="14" s="1"/>
  <c r="C69" i="14" s="1"/>
  <c r="O68" i="14"/>
  <c r="N68" i="14"/>
  <c r="M68" i="14" s="1"/>
  <c r="K68" i="14"/>
  <c r="J68" i="14"/>
  <c r="I68" i="14" s="1"/>
  <c r="G68" i="14"/>
  <c r="F68" i="14"/>
  <c r="E68" i="14" s="1"/>
  <c r="O67" i="14"/>
  <c r="N67" i="14"/>
  <c r="M67" i="14"/>
  <c r="K67" i="14"/>
  <c r="J67" i="14"/>
  <c r="G67" i="14"/>
  <c r="F67" i="14"/>
  <c r="O66" i="14"/>
  <c r="N66" i="14"/>
  <c r="M66" i="14"/>
  <c r="K66" i="14"/>
  <c r="J66" i="14"/>
  <c r="I66" i="14" s="1"/>
  <c r="G66" i="14"/>
  <c r="F66" i="14"/>
  <c r="O65" i="14"/>
  <c r="N65" i="14"/>
  <c r="M65" i="14" s="1"/>
  <c r="K65" i="14"/>
  <c r="J65" i="14"/>
  <c r="I65" i="14" s="1"/>
  <c r="G65" i="14"/>
  <c r="F65" i="14"/>
  <c r="E65" i="14" s="1"/>
  <c r="O64" i="14"/>
  <c r="N64" i="14"/>
  <c r="M64" i="14" s="1"/>
  <c r="K64" i="14"/>
  <c r="J64" i="14"/>
  <c r="I64" i="14"/>
  <c r="G64" i="14"/>
  <c r="F64" i="14"/>
  <c r="E64" i="14"/>
  <c r="O63" i="14"/>
  <c r="N63" i="14"/>
  <c r="M63" i="14" s="1"/>
  <c r="K63" i="14"/>
  <c r="J63" i="14"/>
  <c r="I63" i="14"/>
  <c r="G63" i="14"/>
  <c r="F63" i="14"/>
  <c r="O62" i="14"/>
  <c r="N62" i="14"/>
  <c r="M62" i="14" s="1"/>
  <c r="K62" i="14"/>
  <c r="J62" i="14"/>
  <c r="G62" i="14"/>
  <c r="F62" i="14"/>
  <c r="E62" i="14" s="1"/>
  <c r="O61" i="14"/>
  <c r="N61" i="14"/>
  <c r="M61" i="14"/>
  <c r="K61" i="14"/>
  <c r="J61" i="14"/>
  <c r="I61" i="14" s="1"/>
  <c r="G61" i="14"/>
  <c r="F61" i="14"/>
  <c r="E61" i="14" s="1"/>
  <c r="C61" i="14" s="1"/>
  <c r="O60" i="14"/>
  <c r="N60" i="14"/>
  <c r="K60" i="14"/>
  <c r="J60" i="14"/>
  <c r="G60" i="14"/>
  <c r="F60" i="14"/>
  <c r="E60" i="14" s="1"/>
  <c r="O59" i="14"/>
  <c r="N59" i="14"/>
  <c r="K59" i="14"/>
  <c r="J59" i="14"/>
  <c r="I59" i="14"/>
  <c r="G59" i="14"/>
  <c r="F59" i="14"/>
  <c r="E59" i="14"/>
  <c r="O58" i="14"/>
  <c r="N58" i="14"/>
  <c r="M58" i="14" s="1"/>
  <c r="K58" i="14"/>
  <c r="J58" i="14"/>
  <c r="I58" i="14"/>
  <c r="G58" i="14"/>
  <c r="F58" i="14"/>
  <c r="E58" i="14" s="1"/>
  <c r="O57" i="14"/>
  <c r="N57" i="14"/>
  <c r="M57" i="14"/>
  <c r="K57" i="14"/>
  <c r="J57" i="14"/>
  <c r="I57" i="14" s="1"/>
  <c r="G57" i="14"/>
  <c r="F57" i="14"/>
  <c r="E57" i="14" s="1"/>
  <c r="O56" i="14"/>
  <c r="N56" i="14"/>
  <c r="K56" i="14"/>
  <c r="J56" i="14"/>
  <c r="I56" i="14" s="1"/>
  <c r="G56" i="14"/>
  <c r="F56" i="14"/>
  <c r="E56" i="14" s="1"/>
  <c r="O55" i="14"/>
  <c r="N55" i="14"/>
  <c r="M55" i="14" s="1"/>
  <c r="K55" i="14"/>
  <c r="J55" i="14"/>
  <c r="I55" i="14"/>
  <c r="G55" i="14"/>
  <c r="F55" i="14"/>
  <c r="E55" i="14"/>
  <c r="O54" i="14"/>
  <c r="N54" i="14"/>
  <c r="M54" i="14" s="1"/>
  <c r="K54" i="14"/>
  <c r="J54" i="14"/>
  <c r="I54" i="14" s="1"/>
  <c r="G54" i="14"/>
  <c r="F54" i="14"/>
  <c r="E54" i="14" s="1"/>
  <c r="O53" i="14"/>
  <c r="N53" i="14"/>
  <c r="M53" i="14" s="1"/>
  <c r="K53" i="14"/>
  <c r="J53" i="14"/>
  <c r="I53" i="14" s="1"/>
  <c r="G53" i="14"/>
  <c r="F53" i="14"/>
  <c r="E53" i="14" s="1"/>
  <c r="C53" i="14" s="1"/>
  <c r="O52" i="14"/>
  <c r="N52" i="14"/>
  <c r="M52" i="14"/>
  <c r="K52" i="14"/>
  <c r="J52" i="14"/>
  <c r="I52" i="14" s="1"/>
  <c r="G52" i="14"/>
  <c r="F52" i="14"/>
  <c r="E52" i="14" s="1"/>
  <c r="O51" i="14"/>
  <c r="N51" i="14"/>
  <c r="M51" i="14" s="1"/>
  <c r="K51" i="14"/>
  <c r="J51" i="14"/>
  <c r="I51" i="14" s="1"/>
  <c r="G51" i="14"/>
  <c r="F51" i="14"/>
  <c r="E51" i="14" s="1"/>
  <c r="O50" i="14"/>
  <c r="N50" i="14"/>
  <c r="M50" i="14" s="1"/>
  <c r="K50" i="14"/>
  <c r="J50" i="14"/>
  <c r="I50" i="14" s="1"/>
  <c r="G50" i="14"/>
  <c r="F50" i="14"/>
  <c r="E50" i="14" s="1"/>
  <c r="O49" i="14"/>
  <c r="O48" i="14" s="1"/>
  <c r="N49" i="14"/>
  <c r="N48" i="14" s="1"/>
  <c r="K49" i="14"/>
  <c r="K48" i="14" s="1"/>
  <c r="J49" i="14"/>
  <c r="J48" i="14" s="1"/>
  <c r="I49" i="14"/>
  <c r="I48" i="14" s="1"/>
  <c r="G49" i="14"/>
  <c r="G48" i="14" s="1"/>
  <c r="F49" i="14"/>
  <c r="F48" i="14" s="1"/>
  <c r="M60" i="14" l="1"/>
  <c r="C52" i="14"/>
  <c r="C57" i="14"/>
  <c r="E67" i="14"/>
  <c r="C71" i="14"/>
  <c r="C54" i="14"/>
  <c r="C51" i="14"/>
  <c r="I62" i="14"/>
  <c r="M56" i="14"/>
  <c r="E66" i="14"/>
  <c r="C66" i="14" s="1"/>
  <c r="I60" i="14"/>
  <c r="E63" i="14"/>
  <c r="C63" i="14" s="1"/>
  <c r="C72" i="14"/>
  <c r="C62" i="14"/>
  <c r="C55" i="14"/>
  <c r="C58" i="14"/>
  <c r="C60" i="14"/>
  <c r="C73" i="14"/>
  <c r="C68" i="14"/>
  <c r="C64" i="14"/>
  <c r="M59" i="14"/>
  <c r="C59" i="14" s="1"/>
  <c r="I67" i="14"/>
  <c r="C67" i="14" s="1"/>
  <c r="C50" i="14"/>
  <c r="C56" i="14"/>
  <c r="C65" i="14"/>
  <c r="E49" i="14"/>
  <c r="M49" i="14"/>
  <c r="M48" i="14" s="1"/>
  <c r="L34" i="2"/>
  <c r="H34" i="2"/>
  <c r="D34" i="2"/>
  <c r="C34" i="2" s="1"/>
  <c r="L33" i="2"/>
  <c r="H33" i="2"/>
  <c r="D33" i="2"/>
  <c r="C33" i="2" s="1"/>
  <c r="L32" i="2"/>
  <c r="H32" i="2"/>
  <c r="C32" i="2" s="1"/>
  <c r="D32" i="2"/>
  <c r="L31" i="2"/>
  <c r="H31" i="2"/>
  <c r="D31" i="2"/>
  <c r="L30" i="2"/>
  <c r="H30" i="2"/>
  <c r="C30" i="2" s="1"/>
  <c r="D30" i="2"/>
  <c r="L29" i="2"/>
  <c r="H29" i="2"/>
  <c r="D29" i="2"/>
  <c r="C29" i="2" s="1"/>
  <c r="L28" i="2"/>
  <c r="H28" i="2"/>
  <c r="D28" i="2"/>
  <c r="L27" i="2"/>
  <c r="H27" i="2"/>
  <c r="D27" i="2"/>
  <c r="C27" i="2" s="1"/>
  <c r="L26" i="2"/>
  <c r="H26" i="2"/>
  <c r="C26" i="2" s="1"/>
  <c r="D26" i="2"/>
  <c r="L25" i="2"/>
  <c r="H25" i="2"/>
  <c r="D25" i="2"/>
  <c r="L24" i="2"/>
  <c r="H24" i="2"/>
  <c r="D24" i="2"/>
  <c r="L23" i="2"/>
  <c r="H23" i="2"/>
  <c r="H9" i="2" s="1"/>
  <c r="D23" i="2"/>
  <c r="C23" i="2" s="1"/>
  <c r="L22" i="2"/>
  <c r="H22" i="2"/>
  <c r="D22" i="2"/>
  <c r="L21" i="2"/>
  <c r="H21" i="2"/>
  <c r="D21" i="2"/>
  <c r="C21" i="2" s="1"/>
  <c r="L20" i="2"/>
  <c r="H20" i="2"/>
  <c r="C20" i="2" s="1"/>
  <c r="D20" i="2"/>
  <c r="L19" i="2"/>
  <c r="H19" i="2"/>
  <c r="D19" i="2"/>
  <c r="C19" i="2" s="1"/>
  <c r="L18" i="2"/>
  <c r="H18" i="2"/>
  <c r="C18" i="2" s="1"/>
  <c r="D18" i="2"/>
  <c r="L17" i="2"/>
  <c r="H17" i="2"/>
  <c r="D17" i="2"/>
  <c r="C17" i="2" s="1"/>
  <c r="L16" i="2"/>
  <c r="H16" i="2"/>
  <c r="D16" i="2"/>
  <c r="L15" i="2"/>
  <c r="H15" i="2"/>
  <c r="D15" i="2"/>
  <c r="C15" i="2" s="1"/>
  <c r="L14" i="2"/>
  <c r="H14" i="2"/>
  <c r="C14" i="2" s="1"/>
  <c r="D14" i="2"/>
  <c r="L13" i="2"/>
  <c r="H13" i="2"/>
  <c r="D13" i="2"/>
  <c r="C13" i="2" s="1"/>
  <c r="L12" i="2"/>
  <c r="H12" i="2"/>
  <c r="C12" i="2" s="1"/>
  <c r="D12" i="2"/>
  <c r="L11" i="2"/>
  <c r="H11" i="2"/>
  <c r="D11" i="2"/>
  <c r="L10" i="2"/>
  <c r="H10" i="2"/>
  <c r="D10" i="2"/>
  <c r="N9" i="2"/>
  <c r="M9" i="2"/>
  <c r="J9" i="2"/>
  <c r="I9" i="2"/>
  <c r="F9" i="2"/>
  <c r="E9" i="2"/>
  <c r="L34" i="1"/>
  <c r="H34" i="1"/>
  <c r="D34" i="1"/>
  <c r="C34" i="1" s="1"/>
  <c r="L33" i="1"/>
  <c r="H33" i="1"/>
  <c r="D33" i="1"/>
  <c r="C33" i="1" s="1"/>
  <c r="L32" i="1"/>
  <c r="H32" i="1"/>
  <c r="D32" i="1"/>
  <c r="C32" i="1" s="1"/>
  <c r="L31" i="1"/>
  <c r="H31" i="1"/>
  <c r="D31" i="1"/>
  <c r="C31" i="1" s="1"/>
  <c r="L30" i="1"/>
  <c r="H30" i="1"/>
  <c r="D30" i="1"/>
  <c r="C30" i="1" s="1"/>
  <c r="L29" i="1"/>
  <c r="H29" i="1"/>
  <c r="H9" i="1" s="1"/>
  <c r="D29" i="1"/>
  <c r="C29" i="1" s="1"/>
  <c r="L28" i="1"/>
  <c r="H28" i="1"/>
  <c r="D28" i="1"/>
  <c r="L27" i="1"/>
  <c r="H27" i="1"/>
  <c r="D27" i="1"/>
  <c r="C27" i="1" s="1"/>
  <c r="L26" i="1"/>
  <c r="H26" i="1"/>
  <c r="D26" i="1"/>
  <c r="C26" i="1" s="1"/>
  <c r="L25" i="1"/>
  <c r="H25" i="1"/>
  <c r="D25" i="1"/>
  <c r="C25" i="1" s="1"/>
  <c r="L24" i="1"/>
  <c r="H24" i="1"/>
  <c r="D24" i="1"/>
  <c r="C24" i="1" s="1"/>
  <c r="L23" i="1"/>
  <c r="H23" i="1"/>
  <c r="D23" i="1"/>
  <c r="C23" i="1" s="1"/>
  <c r="L22" i="1"/>
  <c r="H22" i="1"/>
  <c r="D22" i="1"/>
  <c r="C22" i="1" s="1"/>
  <c r="L21" i="1"/>
  <c r="H21" i="1"/>
  <c r="D21" i="1"/>
  <c r="C21" i="1" s="1"/>
  <c r="L20" i="1"/>
  <c r="H20" i="1"/>
  <c r="D20" i="1"/>
  <c r="L19" i="1"/>
  <c r="H19" i="1"/>
  <c r="D19" i="1"/>
  <c r="L18" i="1"/>
  <c r="H18" i="1"/>
  <c r="D18" i="1"/>
  <c r="C18" i="1" s="1"/>
  <c r="L17" i="1"/>
  <c r="H17" i="1"/>
  <c r="D17" i="1"/>
  <c r="C17" i="1" s="1"/>
  <c r="L16" i="1"/>
  <c r="H16" i="1"/>
  <c r="D16" i="1"/>
  <c r="C16" i="1" s="1"/>
  <c r="L15" i="1"/>
  <c r="H15" i="1"/>
  <c r="D15" i="1"/>
  <c r="C15" i="1" s="1"/>
  <c r="L14" i="1"/>
  <c r="H14" i="1"/>
  <c r="D14" i="1"/>
  <c r="C14" i="1" s="1"/>
  <c r="L13" i="1"/>
  <c r="H13" i="1"/>
  <c r="D13" i="1"/>
  <c r="C13" i="1" s="1"/>
  <c r="L12" i="1"/>
  <c r="H12" i="1"/>
  <c r="D12" i="1"/>
  <c r="C12" i="1" s="1"/>
  <c r="L11" i="1"/>
  <c r="H11" i="1"/>
  <c r="D11" i="1"/>
  <c r="C11" i="1" s="1"/>
  <c r="L10" i="1"/>
  <c r="H10" i="1"/>
  <c r="D10" i="1"/>
  <c r="C10" i="1" s="1"/>
  <c r="N9" i="1"/>
  <c r="M9" i="1"/>
  <c r="J9" i="1"/>
  <c r="I9" i="1"/>
  <c r="F9" i="1"/>
  <c r="E9" i="1"/>
  <c r="L9" i="1" l="1"/>
  <c r="C24" i="2"/>
  <c r="L9" i="2"/>
  <c r="D9" i="2"/>
  <c r="C10" i="2"/>
  <c r="C19" i="1"/>
  <c r="C20" i="1"/>
  <c r="C28" i="2"/>
  <c r="C31" i="2"/>
  <c r="C25" i="2"/>
  <c r="C16" i="2"/>
  <c r="C28" i="1"/>
  <c r="C22" i="2"/>
  <c r="E48" i="14"/>
  <c r="C49" i="14"/>
  <c r="C48" i="14" s="1"/>
  <c r="C9" i="1"/>
  <c r="C11" i="2"/>
  <c r="C9" i="2" s="1"/>
  <c r="D9" i="1"/>
</calcChain>
</file>

<file path=xl/sharedStrings.xml><?xml version="1.0" encoding="utf-8"?>
<sst xmlns="http://schemas.openxmlformats.org/spreadsheetml/2006/main" count="1727" uniqueCount="227">
  <si>
    <t xml:space="preserve"> Infraestructura Vial Existente del SINAC, según departamento </t>
  </si>
  <si>
    <t>(Clasificador de Rutas D.S.044-2008-MTC al 31 de diciembre 2010)</t>
  </si>
  <si>
    <t>Kilómetros</t>
  </si>
  <si>
    <t>DEPARTAMENTO</t>
  </si>
  <si>
    <t>LONGITUD TOTAL</t>
  </si>
  <si>
    <t>NACIONAL</t>
  </si>
  <si>
    <r>
      <t>DEPARTAMENTAL</t>
    </r>
    <r>
      <rPr>
        <b/>
        <vertAlign val="superscript"/>
        <sz val="10"/>
        <rFont val="Arial Narrow"/>
        <family val="2"/>
      </rPr>
      <t xml:space="preserve"> 1/</t>
    </r>
  </si>
  <si>
    <r>
      <t xml:space="preserve">VECINAL </t>
    </r>
    <r>
      <rPr>
        <b/>
        <vertAlign val="superscript"/>
        <sz val="10"/>
        <rFont val="Arial Narrow"/>
        <family val="2"/>
      </rPr>
      <t>2/</t>
    </r>
  </si>
  <si>
    <t>SUB TOTAL</t>
  </si>
  <si>
    <t>Pavimentada</t>
  </si>
  <si>
    <t>No Pavimentada</t>
  </si>
  <si>
    <t>SUB-TOTAL</t>
  </si>
  <si>
    <t>Pavimento</t>
  </si>
  <si>
    <t>TOTAL</t>
  </si>
  <si>
    <t xml:space="preserve"> Amazonas</t>
  </si>
  <si>
    <t xml:space="preserve"> Áncash</t>
  </si>
  <si>
    <t xml:space="preserve"> Apurímac</t>
  </si>
  <si>
    <t xml:space="preserve"> Arequipa</t>
  </si>
  <si>
    <t xml:space="preserve"> Ayacucho</t>
  </si>
  <si>
    <t xml:space="preserve"> Cajamarca</t>
  </si>
  <si>
    <t xml:space="preserve"> Callao</t>
  </si>
  <si>
    <t xml:space="preserve"> Cusco</t>
  </si>
  <si>
    <t xml:space="preserve"> Huancavelica</t>
  </si>
  <si>
    <t xml:space="preserve"> Huánuco</t>
  </si>
  <si>
    <t xml:space="preserve"> Ica</t>
  </si>
  <si>
    <t xml:space="preserve"> Junín</t>
  </si>
  <si>
    <t xml:space="preserve"> La Libertad</t>
  </si>
  <si>
    <t xml:space="preserve"> Lambayeque</t>
  </si>
  <si>
    <t xml:space="preserve"> Lima</t>
  </si>
  <si>
    <t xml:space="preserve"> Loreto</t>
  </si>
  <si>
    <t xml:space="preserve"> Madre de Dios</t>
  </si>
  <si>
    <t xml:space="preserve"> Moquegua</t>
  </si>
  <si>
    <t xml:space="preserve"> Pasco</t>
  </si>
  <si>
    <t xml:space="preserve"> </t>
  </si>
  <si>
    <t xml:space="preserve"> Piura</t>
  </si>
  <si>
    <t xml:space="preserve"> Puno</t>
  </si>
  <si>
    <t xml:space="preserve"> San Martín</t>
  </si>
  <si>
    <t xml:space="preserve"> Tacna</t>
  </si>
  <si>
    <t xml:space="preserve"> Tumbes</t>
  </si>
  <si>
    <t xml:space="preserve"> Ucayali</t>
  </si>
  <si>
    <t>1/. Red Departamental,se  actualiza producto  de la sistematización de 21 Inventarios Viales Georeferenciados, a cargo de los Gobierno Subnacional y Provías Descentralizado.</t>
  </si>
  <si>
    <t>2/. Red Vecinal, incorpora vías vecinales "No Registradas",  producto  de la sistematización de 164 Inventarios Viales Georeferenciados Provinciales de la Red Vial Vecinal, a cargo de los Gobierno Subnacional y Provías Descentralizado.</t>
  </si>
  <si>
    <t>Fuente: Estudio de medición de la Red Vial Nacional - DGCF - Provías Nacional.</t>
  </si>
  <si>
    <t>Nota: Las cifras de longitud varían ligeramente por efectos de redondeo</t>
  </si>
  <si>
    <t>(Clasificador de Rutas D.S.036-2011-MTC al 31 de diciembre 2011)</t>
  </si>
  <si>
    <t>Kilómetro</t>
  </si>
  <si>
    <t>(Clasificador de Rutas D.S.036-2011-MTC al 31 de diciembre 2012)</t>
  </si>
  <si>
    <t>LONGITUD 
TOTAL</t>
  </si>
  <si>
    <t>No 
Pavimentada</t>
  </si>
  <si>
    <t xml:space="preserve"> Ancash</t>
  </si>
  <si>
    <t>1/. Red Departamental,se  actualiza producto  de la sistematización de 23 Inventarios Viales Georeferenciados (exceptuando el departamento de La Libertad), a cargo de los Gobierno Subnacional y Provías Descentralizado.</t>
  </si>
  <si>
    <t>(Clasificador de Rutas D.S.036-2011-MTC al 31 de julio 2013)</t>
  </si>
  <si>
    <r>
      <t>VECINAL</t>
    </r>
    <r>
      <rPr>
        <b/>
        <vertAlign val="superscript"/>
        <sz val="10"/>
        <rFont val="Arial Narrow"/>
        <family val="2"/>
      </rPr>
      <t xml:space="preserve"> 2/</t>
    </r>
  </si>
  <si>
    <t>UCAYALI</t>
  </si>
  <si>
    <t>1/ Red Departamental, se  actualizó producto  de la sistematización de 23 Inventarios Viales Georeferenciados (exceptuando el departamento de La Libertad), a cargo de los Gobierno Subnacional y Provías Descentralizado.Asimismo se incorporó la información proveniente de los  Inventario Vial Básico a cargo de la Dirección de Caminos entre los años 2011-2012 para 14 departamentos,  según el D.S. Nº 044-2011-MTC.</t>
  </si>
  <si>
    <t>2/ Red Vecinal, incorpora vías vecinales "No Registradas",  producto  de la sistematización de 164 Inventarios Viales Georeferenciados Provinciales de la Red Vial Vecinal, a cargo de los Gobierno Subnacional y Provías Descentralizado.</t>
  </si>
  <si>
    <t>(Clasificador de Rutas D.S.036-2011-MTC al 31 de diciembre 2013)</t>
  </si>
  <si>
    <t>2/ Red Vecinal, compuesta por la red vecinal registrada y la red vecinal no registrada, sistematización de 164 Inventarios Viales Georreferenciados Provinciales de la Red Vecinal</t>
  </si>
  <si>
    <t>Fuente:  GTT (PVN,PVD, DGCF Y OGPP) - 31.Dic.2013</t>
  </si>
  <si>
    <t>(Clasificador de Rutas D.S.012-2013-MTC al 31 de julio 2014)</t>
  </si>
  <si>
    <t>1/ Red Departamental, se  actualizó producto  de la sistematización de 23 Inventarios Viales Georeferenciados (exceptuando el departamento de La Libertad), a cargo de los Gobierno Subnacional y Provías Descentralizado.Asimismo se incorporó la información proveniente de los  Inventario Vial Básico a cargo de la Dirección de Caminos entre los años 2011-2012 para 14 departamentos, y el año 2014 para  los 10 departamentos restantes,  según el D.S. Nº 044-2011-MTC.</t>
  </si>
  <si>
    <t>Fuente:  GTT- 31.Jul.2014</t>
  </si>
  <si>
    <t>(Clasificador de Rutas D.S.036-2011-MTC al 31 de diciembre 2014)</t>
  </si>
  <si>
    <t>Fuente: GTT-31.Dic.2014</t>
  </si>
  <si>
    <t>(Clasificador de Rutas D.S.012-2013-MTC al 31 de julio 2015)</t>
  </si>
  <si>
    <t>Fuente:  GTT- 31.Jul.2015</t>
  </si>
  <si>
    <t xml:space="preserve">  </t>
  </si>
  <si>
    <t>(Clasificador de Rutas D.S.012-2013-MTC al 31 de diciembre 2015)</t>
  </si>
  <si>
    <t>Fuente:  GTT (PVN,PVD, DGCF Y OGPP) - 31.Dic.2015</t>
  </si>
  <si>
    <t>(Clasificador de Rutas D.S.012-2013-MTC al 31 de julio 2016)</t>
  </si>
  <si>
    <t>2/. Red Vecinal, incorpora vías vecinales "No Registradas",  producto  de la sistematización de 185 Inventarios Viales Georeferenciados Provinciales de la Red Vial Vecinal, a cargo de los Gobierno Subnacional y Provías Descentralizado. Dichas vías estan en proceso de formalización.</t>
  </si>
  <si>
    <t>Fuente:  GTT (PVN,PVD, DGCF Y OGPP) - 31.Jul.2016</t>
  </si>
  <si>
    <t>(Clasificador de Rutas D.S.011-2016-MTC al 31 de diciembre 2016)</t>
  </si>
  <si>
    <t>(Clasificador de Rutas D.S.011-2016-MTC al 31 de julio 2017)</t>
  </si>
  <si>
    <t>(Clasificador de Rutas D.S.011-2016-MTC al 31 de diciembre 2017)</t>
  </si>
  <si>
    <t>(Clasificador de Rutas D.S.011-2016-MTC al 31 de julio 2018)</t>
  </si>
  <si>
    <t>(Clasificador de Rutas D.S.011-2016-MTC al 31 de diciembre 2018)</t>
  </si>
  <si>
    <t>1/. Red Vecinal, compuesta por la red vecinal registrada y la red vecinal no registrada  (DS.012-2013-MTC, nuevo clasificador del SINAC).</t>
  </si>
  <si>
    <t>Fuente: GTT-31.Jul.2017</t>
  </si>
  <si>
    <t>(Clasificador de Rutas D.S.011-2016-MTC al 31 de julio 2019)</t>
  </si>
  <si>
    <t>2/  Red Vecinal, incorpora vías vecinales "No Registradas",  producto  de la sistematización de 185 Inventarios Viales Georeferenciados Provinciales de la Red Vial Vecinal, a cargo de los Gobierno Subnacional y Provías Descentralizado. Dichas vías estan en proceso de formalización.Asimismo,  se actualizó según el inventario vial vecinal realizado realizado en el años 2017-2018 por la Dirección de Caminos para  03 departamentos: Piura, Huánuco y Cusco.</t>
  </si>
  <si>
    <t>(Clasificador de Rutas D.S.011-2016-MTC al 31 de diciembre 2019)</t>
  </si>
  <si>
    <t>Amazonas</t>
  </si>
  <si>
    <t>Áncash</t>
  </si>
  <si>
    <t>Apurímac</t>
  </si>
  <si>
    <t>Arequipa</t>
  </si>
  <si>
    <t>Ayacucho</t>
  </si>
  <si>
    <t>Cajamarca</t>
  </si>
  <si>
    <t>Callao</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</si>
  <si>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</si>
  <si>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</si>
  <si>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</si>
  <si>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</si>
  <si>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</si>
  <si>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</si>
  <si>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</si>
  <si>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</si>
  <si>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</si>
  <si>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</si>
  <si>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</si>
  <si>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</si>
  <si>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</si>
  <si>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</si>
  <si>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</si>
  <si>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</si>
  <si>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</si>
  <si>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</si>
  <si>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Fuente:  GTT (PVN,PVD, DGCF Y OGPP) - 31.Dic.2019</t>
  </si>
  <si>
    <t>(Clasificador de Rutas D.S.011-2016-MTC al 31 de julio 2020)</t>
  </si>
  <si>
    <t>Fuente:  GTT (PVN,PVD, DGCF Y OGPP) - 31.Jul.2020</t>
  </si>
  <si>
    <t>(Clasificador de Rutas D.S.011-2016-MTC al 31 de diciembre 2020)</t>
  </si>
  <si>
    <t>Fuente:  GTT (PVN,PVD, DGCF Y OGPP) - 31.Dic.2020</t>
  </si>
  <si>
    <t>(Clasificador de Rutas D.S.011-2016-MTC al 31 de julio 2021)</t>
  </si>
  <si>
    <t>2/  Red Vecinal, incorpora vías vecinales "No Registradas",  producto  de la sistematización de 185 Inventarios Viales Georeferenciados Provinciales de la Red Vial Vecinal, a cargo de los Gobierno Subnacional y Provías Descentralizado. Dichas vías estan en proceso de formalización.Asimismo,  se actualizó según el inventario vial vecinal realizado realizado en el años 2017-2018 por la Dirección de Caminos para  03 departamentos: Piura, Huánuco y Cusco.  Y los Inventarios Viales Participativos en 22 provincias del programa Planes Viales Provinciales Participativos (PATS)-PVD</t>
  </si>
  <si>
    <t>Fuente:  PVN,PVD, DGPPT Y OGPP - 31.Jul.2021</t>
  </si>
  <si>
    <t xml:space="preserve">    </t>
  </si>
  <si>
    <t>Fuente:  GTT (PVN,PVD, DGCF Y OGPP) - 31.Jul.2017</t>
  </si>
  <si>
    <t>Fuente:  GTT (PVN,PVD, DGCF Y OGPP) - 31.Dic.2017</t>
  </si>
  <si>
    <t>Fuente:  GTT (PVN,PVD, DGCF Y OGPP) - 31.Jul.2018</t>
  </si>
  <si>
    <t>Fuente:  GTT (PVN,PVD, DGCF Y OGPP) - 31.Dic.2018</t>
  </si>
  <si>
    <t>Fuente:  GTT (PVN,PVD, DGCF Y OGPP) - 31.Jul.2019</t>
  </si>
  <si>
    <t>Fuente:  GTT- 31.Jul.2013</t>
  </si>
  <si>
    <t>(Clasificador de Rutas D.S.036-2011-MTC al 31 de julio 2012)</t>
  </si>
  <si>
    <t>DEPARTAMENTAL 1/</t>
  </si>
  <si>
    <t>VECINAL 2/</t>
  </si>
  <si>
    <t>(Clasificador de Rutas D.S.011-2016-MTC al 31 de diciembre 2021)</t>
  </si>
  <si>
    <t>Fuente:  GTT (PVN,PVD, DGCF Y OGPP) - 31.Dic.2021</t>
  </si>
  <si>
    <t>(Clasificador de Rutas D.S.011-2016-MTC al 31 de julio 2022)</t>
  </si>
  <si>
    <t>(Clasificador de Rutas D.S.011-2016-MTC al 31 de diciembre 2022)</t>
  </si>
  <si>
    <t>Fuente:  PVN,PVD, DGPPT y OGPP - 31.Dic.2022</t>
  </si>
  <si>
    <t>(Clasificador de Rutas D.S.011-2016-MTC al 31 de julio 2023)</t>
  </si>
  <si>
    <t>1/.Red Departamental, se  actualizó producto  de la sistematización de 23 Inventarios Viales Georeferenciados (exceptuando el departamento de La Libertad), a cargo de los Gobierno Subnacional y Provías Descentralizado.Asimismo se incorporó la información proveniente de los  Inventario Vial Básico a cargo de la Dirección de Caminos entre los años 2011-2012 para 14 departamentos, y el año 2014 para  los 10 departamentos restantes,  según el D.S. Nº 044-2011-MTC.Desde el año 2021,, se incorporó información de las obras culminadas de los proyectos PATS y Proregión.</t>
  </si>
  <si>
    <t>(Clasificador de Rutas D.S.011-2016-MTC al 31 de diciembre 2023)</t>
  </si>
  <si>
    <t xml:space="preserve">1/ Red Departamental, se  actualizó producto  de la sistematización de 23 Inventarios Viales Georreferenciados (exceptuando el departamento de La Libertad), a cargo de los Gobierno Subnacional y Provías Descentralizado. Asimismo se incorporó la información proveniente de los  Inventario Vial Básico a cargo de la Dirección de Caminos entre los años 2011-2012 para 14 departamentos, y el año 2014 para  los 10 departamentos restantes,  según el D.S. Nº 044-2011-MTC.
</t>
  </si>
  <si>
    <t>2/  Red Vecinal, incorpora vías vecinales "No Registradas",  producto  de la sistematización de 185 Inventarios Viales Georreferenciados Provinciales de la Red Vial Vecinal, a cargo de los Gobierno Subnacional y Provías Descentralizado. Dichas vías están en proceso de formalización. Asimismo,  se actualizó según el inventario vial vecinal realizado en el años 2017-2018 por la Dirección de Caminos para  03 departamentos: Piura, Huánuco y Cusco.  Y los Inventarios Viales Participativos en 22 provincias del programa Planes Viales Provinciales Participativos (PATS)-PVD.</t>
  </si>
  <si>
    <t>Fuente:  PVN,PVD, DGPPT Y OGPP - 31.Dic.2021</t>
  </si>
  <si>
    <t xml:space="preserve"> Red vial Existente del SINAC, según departamento </t>
  </si>
  <si>
    <t>SINAC: RED VIAL NACIONAL 1/</t>
  </si>
  <si>
    <t>SINAC - RED VIAL DEPARTAMENTAL 1/</t>
  </si>
  <si>
    <t>SINAC - RED VIAL VECINAL 1/
Rutas Registradas y No Registradas en RENAC</t>
  </si>
  <si>
    <t>CLASIFICADOR DE RUTAS D.S.011-2016-MTC ACTUALIZADA AL 31/07/2013</t>
  </si>
  <si>
    <t>(En Kilómetros)</t>
  </si>
  <si>
    <t>EXISTENTE POR TIPO DE SUPERFICIE DE RODADURA</t>
  </si>
  <si>
    <t>PROYECTADA</t>
  </si>
  <si>
    <t xml:space="preserve">TOTAL </t>
  </si>
  <si>
    <t>PAVIMENTADA</t>
  </si>
  <si>
    <t>NO PAVIMENTADA</t>
  </si>
  <si>
    <t>TOTAL
EXISTENTE</t>
  </si>
  <si>
    <t>NO  PAVIMENTADA</t>
  </si>
  <si>
    <t>Asfaltada</t>
  </si>
  <si>
    <t>Solución 
Básica</t>
  </si>
  <si>
    <t>SUB 
TOTAL</t>
  </si>
  <si>
    <t>Afirmada</t>
  </si>
  <si>
    <t>Sin 
Afirmar</t>
  </si>
  <si>
    <t>Trocha</t>
  </si>
  <si>
    <t>Sin Afirmar</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</si>
  <si>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</si>
  <si>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</si>
  <si>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</si>
  <si>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</si>
  <si>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</si>
  <si>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</si>
  <si>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</si>
  <si>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</si>
  <si>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</si>
  <si>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</si>
  <si>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</si>
  <si>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</si>
  <si>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</si>
  <si>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</si>
  <si>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</si>
  <si>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</si>
  <si>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</si>
  <si>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</si>
  <si>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</si>
  <si>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</si>
  <si>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</si>
  <si>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</si>
  <si>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</si>
  <si>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</si>
  <si>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1/. Las cifras de longitud varían ligeramente por efectos de redondeo.</t>
  </si>
  <si>
    <t>Elaborado: GTT- 31.Jul.2018</t>
  </si>
  <si>
    <t>Fuente:  PVN/OPEI/SGP</t>
  </si>
  <si>
    <t>Fuente: (*)  DGCF/ Inventario Vial Básico para 10 departamentos el 2013, según el D.S. Nº 036-2011-MTC</t>
  </si>
  <si>
    <t>Fuente:  DGCF/Oficina de Estadística</t>
  </si>
  <si>
    <t>CLASIFICADOR DE RUTAS D.S.011-2016-MTC ACTUALIZADA AL 31/12/2013</t>
  </si>
  <si>
    <t xml:space="preserve">AMAZONAS  </t>
  </si>
  <si>
    <t>ANCASH(*)</t>
  </si>
  <si>
    <t>APURIMAC(*)</t>
  </si>
  <si>
    <t xml:space="preserve">AREQUIPA  </t>
  </si>
  <si>
    <t>AYACUCHO(*)</t>
  </si>
  <si>
    <t xml:space="preserve">CAJAMARCA  </t>
  </si>
  <si>
    <t>CUSCO(*)</t>
  </si>
  <si>
    <t>HUANCAVELICA(*)</t>
  </si>
  <si>
    <t xml:space="preserve">HUÁNUCO  </t>
  </si>
  <si>
    <t xml:space="preserve">ICA  </t>
  </si>
  <si>
    <t>JUNIN(*)</t>
  </si>
  <si>
    <t xml:space="preserve">LA LIBERTAD  </t>
  </si>
  <si>
    <t xml:space="preserve">LAMBAYEQUE  </t>
  </si>
  <si>
    <t>LIMA(*)</t>
  </si>
  <si>
    <t>LORETO(*)</t>
  </si>
  <si>
    <t>MADRE DE DIOS(*)</t>
  </si>
  <si>
    <t xml:space="preserve">MOQUEGUA  </t>
  </si>
  <si>
    <t xml:space="preserve">PASCO  </t>
  </si>
  <si>
    <t xml:space="preserve">PIURA  </t>
  </si>
  <si>
    <t>PUNO(*)</t>
  </si>
  <si>
    <t xml:space="preserve">SAN MARTIN  </t>
  </si>
  <si>
    <t xml:space="preserve">TACNA  </t>
  </si>
  <si>
    <t xml:space="preserve">TUMBES  </t>
  </si>
  <si>
    <t xml:space="preserve">UCAYALI  </t>
  </si>
  <si>
    <t>Elaborado: GTT (PVN,PVD, DGCF Y OGPP) - 31.Dic.2013</t>
  </si>
  <si>
    <r>
      <t xml:space="preserve">SINAC - RED VIAL VECINAL 1/
Rutas </t>
    </r>
    <r>
      <rPr>
        <b/>
        <sz val="9"/>
        <color rgb="FF000000"/>
        <rFont val="Arial Narrow"/>
        <family val="2"/>
      </rPr>
      <t>Registradas y No Registradas en RENAC</t>
    </r>
  </si>
  <si>
    <t>LONGITUD TOTAL 1/</t>
  </si>
  <si>
    <t>DEPARTAMENTAL 2/</t>
  </si>
  <si>
    <t>VECINAL /3</t>
  </si>
  <si>
    <t>1/ Comprende las rutas clasificadas de manera definitiva</t>
  </si>
  <si>
    <t>2/ Red Departamental, ha sido actualizado como resultado de la sistematización de 23 Inventarios Viales Georreferenciados (exceptuando el departamento de La Libertad), a cargo de los Gobierno Subnacional y Provías Descentralizado. Además, se ha incluido la información recopilada del Inventario Vial Básico realizado por la Dirección de Caminos entre los años 2011 y 2012 para 14 departamentos,  y el año 2014 para  los 10 departamentos restantes,  según lo establecido por el D.S. Nº 044-2011-MTC. También se han agregado los datos de las intervenciones realizadas por PVD, y desde el año 2020 se ha estado registrando la información del programa Proregión.</t>
  </si>
  <si>
    <t>3/ La Red Vecinal ha sido actualizada para incluir vías vecinales "No Registradas", resultado de la sistematización de 185 Inventarios Viales Georreferenciados Provinciales de la Red Vial Vecinal, realizados por los Gobiernos Subnacionales y Provías Descentralizado. Estas vías se encuentran actualmente en proceso de formalización. Entre los años 2017 y 2018, se llevó a cabo el inventario vial vecinal por parte de la Ex-Dirección de Caminos y los Gobiernos Locales para 03 departamentos: Piura, Huánuco y Cusco. También; se han integrado los Inventarios Viales Participativos realizados en 22 provincias y las intervenciones del programa Planes Viales Provinciales Participativos (PATS) a cargo de PVD.</t>
  </si>
  <si>
    <t xml:space="preserve"> Red vial Existente del SINAC, , según departamento</t>
  </si>
  <si>
    <t xml:space="preserve"> Red vial Existente del SINAC, , según departamento </t>
  </si>
  <si>
    <t>Fuente:  PVN,PVD, DGPPT Y OGPP - 31.Jul.2022</t>
  </si>
  <si>
    <t>(Clasificador de Rutas D.S.011-2016-MTC al 31 de julio 2024)</t>
  </si>
  <si>
    <t>(Clasificador de Rutas D.S.011-2016-MTC al 31 de diciembre 2024)</t>
  </si>
  <si>
    <t>Fuente:  PVN,PVD, DGPPT Y OGPP</t>
  </si>
  <si>
    <t xml:space="preserve">Fuente:  PVN,PVD, DGPPT Y OGPP </t>
  </si>
  <si>
    <t>(Clasificador de Rutas D.S.011-2016-MTC al 31 de junio 2025)</t>
  </si>
  <si>
    <t>1/.Red Departamental, se  actualizó producto  de la sistematización de 23 Inventarios Viales Georeferenciados (exceptuando el departamento de La Libertad), a cargo de los Gobierno Subnacional y Provías Descentralizado.Asimismo se incorporó la información proveniente de los  Inventario Vial Básico a cargo de la Dirección de Caminos entre los años 2011-2012 para 14 departamentos, y el año 2014 para  los 10 departamentos restantes,  según el D.S. Nº 044-2011-MTC.Desde el año 2021, se incorporó información de las obras culminadas de los proyectos PATS y Proregión.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</si>
</sst>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0\ 000.0"/>
    <numFmt numFmtId="166" formatCode="#,##0.0"/>
    <numFmt numFmtId="167" formatCode="0.0"/>
    <numFmt numFmtId="168" formatCode="_ * #,##0.0_ ;_ * \-#,##0.0_ ;_ * &quot;-&quot;??_ ;_ @_ "/>
  </numFmts>
  <fonts count="33" x14ac:knownFonts="1">
    <font>
      <sz val="11"/>
      <color theme="1"/>
      <name val="Calibri"/>
      <family val="2"/>
      <scheme val="minor"/>
    </font>
    <font>
      <sz val="11"/>
      <color theme="1"/>
      <name val="Calibri"/>
      <family val="2"/>
      <scheme val="minor"/>
    </font>
    <font>
      <b/>
      <sz val="11"/>
      <name val="Arial Narrow"/>
      <family val="2"/>
    </font>
    <font>
      <sz val="11"/>
      <color theme="1"/>
      <name val="Arial Narrow"/>
      <family val="2"/>
    </font>
    <font>
      <b/>
      <sz val="12"/>
      <name val="Arial Narrow"/>
      <family val="2"/>
    </font>
    <font>
      <sz val="10"/>
      <name val="Arial Narrow"/>
      <family val="2"/>
    </font>
    <font>
      <b/>
      <sz val="10"/>
      <name val="Arial Narrow"/>
      <family val="2"/>
    </font>
    <font>
      <b/>
      <vertAlign val="superscript"/>
      <sz val="10"/>
      <name val="Arial Narrow"/>
      <family val="2"/>
    </font>
    <font>
      <sz val="9"/>
      <color theme="1"/>
      <name val="Arial Narrow"/>
      <family val="2"/>
    </font>
    <font>
      <sz val="9"/>
      <name val="Arial Narrow"/>
      <family val="2"/>
    </font>
    <font>
      <b/>
      <sz val="8.5"/>
      <name val="Arial Narrow"/>
      <family val="2"/>
    </font>
    <font>
      <sz val="8.5"/>
      <name val="Arial Narrow"/>
      <family val="2"/>
    </font>
    <font>
      <b/>
      <sz val="9"/>
      <name val="Arial Narrow"/>
      <family val="2"/>
    </font>
    <font>
      <sz val="8"/>
      <name val="Arial Narrow"/>
      <family val="2"/>
    </font>
    <font>
      <sz val="10"/>
      <name val="Arial"/>
      <family val="2"/>
    </font>
    <font>
      <sz val="9"/>
      <color theme="0"/>
      <name val="Arial Narrow"/>
      <family val="2"/>
    </font>
    <font>
      <sz val="10"/>
      <color theme="1"/>
      <name val="Arial Narrow"/>
      <family val="2"/>
    </font>
    <font>
      <sz val="7"/>
      <name val="Times New Roman"/>
      <family val="1"/>
    </font>
    <font>
      <sz val="8"/>
      <color theme="1"/>
      <name val="Arial Narrow"/>
      <family val="2"/>
    </font>
    <font>
      <b/>
      <sz val="11"/>
      <color theme="1"/>
      <name val="Arial Narrow"/>
      <family val="2"/>
    </font>
    <font>
      <sz val="11"/>
      <name val="Arial Narrow"/>
      <family val="2"/>
    </font>
    <font>
      <b/>
      <sz val="12"/>
      <color theme="1"/>
      <name val="Arial Narrow"/>
      <family val="2"/>
    </font>
    <font>
      <b/>
      <sz val="10"/>
      <color theme="1"/>
      <name val="Arial Narrow"/>
      <family val="2"/>
    </font>
    <font>
      <sz val="11"/>
      <color theme="0"/>
      <name val="Arial Narrow"/>
      <family val="2"/>
    </font>
    <font>
      <b/>
      <sz val="9"/>
      <color theme="1"/>
      <name val="Arial Narrow"/>
      <family val="2"/>
    </font>
    <font>
      <sz val="12"/>
      <color theme="1"/>
      <name val="Arial Narrow"/>
      <family val="2"/>
    </font>
    <font>
      <sz val="7"/>
      <name val="Arial Narrow"/>
      <family val="2"/>
    </font>
    <font>
      <b/>
      <sz val="10"/>
      <color rgb="FF000000"/>
      <name val="Arial Narrow"/>
      <family val="2"/>
    </font>
    <font>
      <b/>
      <sz val="9"/>
      <color rgb="FF000000"/>
      <name val="Arial Narrow"/>
      <family val="2"/>
    </font>
    <font>
      <sz val="8"/>
      <color rgb="FF000000"/>
      <name val="Arial Narrow"/>
      <family val="2"/>
    </font>
    <font>
      <b/>
      <sz val="9"/>
      <color theme="0"/>
      <name val="Arial Narrow"/>
      <family val="2"/>
    </font>
    <font>
      <b/>
      <sz val="10"/>
      <color theme="0"/>
      <name val="Arial Narrow"/>
      <family val="2"/>
    </font>
    <font>
      <b/>
      <sz val="10"/>
      <color theme="1" tint="4.9989318521683403E-2"/>
      <name val="Arial Narrow"/>
      <family val="2"/>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005426"/>
        <bgColor indexed="64"/>
      </patternFill>
    </fill>
    <fill>
      <patternFill patternType="solid">
        <fgColor rgb="FFE65B06"/>
        <bgColor indexed="64"/>
      </patternFill>
    </fill>
    <fill>
      <patternFill patternType="solid">
        <fgColor rgb="FFFBBBD8"/>
        <bgColor indexed="64"/>
      </patternFill>
    </fill>
    <fill>
      <patternFill patternType="solid">
        <fgColor rgb="FF00B050"/>
        <bgColor indexed="64"/>
      </patternFill>
    </fill>
    <fill>
      <patternFill patternType="solid">
        <fgColor rgb="FFFBAF71"/>
        <bgColor indexed="64"/>
      </patternFill>
    </fill>
  </fills>
  <borders count="14">
    <border>
      <left/>
      <right/>
      <top/>
      <bottom/>
      <diagonal/>
    </border>
    <border>
      <left/>
      <right/>
      <top style="medium">
        <color theme="0" tint="-0.499984740745262"/>
      </top>
      <bottom/>
      <diagonal/>
    </border>
    <border>
      <left/>
      <right/>
      <top/>
      <bottom style="medium">
        <color theme="0" tint="-0.499984740745262"/>
      </bottom>
      <diagonal/>
    </border>
    <border>
      <left/>
      <right/>
      <top style="thin">
        <color theme="0" tint="-0.499984740745262"/>
      </top>
      <bottom style="medium">
        <color theme="0" tint="-0.499984740745262"/>
      </bottom>
      <diagonal/>
    </border>
    <border>
      <left/>
      <right/>
      <top style="medium">
        <color theme="0" tint="-0.499984740745262"/>
      </top>
      <bottom style="thin">
        <color theme="0" tint="-0.499984740745262"/>
      </bottom>
      <diagonal/>
    </border>
    <border>
      <left/>
      <right/>
      <top style="thin">
        <color theme="0" tint="-0.499984740745262"/>
      </top>
      <bottom/>
      <diagonal/>
    </border>
    <border>
      <left/>
      <right/>
      <top/>
      <bottom style="medium">
        <color auto="1"/>
      </bottom>
      <diagonal/>
    </border>
    <border>
      <left/>
      <right/>
      <top/>
      <bottom style="thin">
        <color rgb="FFC00000"/>
      </bottom>
      <diagonal/>
    </border>
    <border>
      <left/>
      <right/>
      <top/>
      <bottom style="thin">
        <color theme="0"/>
      </bottom>
      <diagonal/>
    </border>
    <border>
      <left/>
      <right/>
      <top style="thin">
        <color theme="0"/>
      </top>
      <bottom/>
      <diagonal/>
    </border>
    <border>
      <left/>
      <right/>
      <top/>
      <bottom style="thin">
        <color indexed="64"/>
      </bottom>
      <diagonal/>
    </border>
    <border>
      <left/>
      <right/>
      <top/>
      <bottom style="thin">
        <color rgb="FF009A46"/>
      </bottom>
      <diagonal/>
    </border>
    <border>
      <left/>
      <right/>
      <top/>
      <bottom style="medium">
        <color rgb="FF006600"/>
      </bottom>
      <diagonal/>
    </border>
    <border>
      <left/>
      <right/>
      <top/>
      <bottom style="thin">
        <color theme="0" tint="-0.499984740745262"/>
      </bottom>
      <diagonal/>
    </border>
  </borders>
  <cellStyleXfs count="5">
    <xf numFmtId="0" fontId="0" fillId="0" borderId="0"/>
    <xf numFmtId="164" fontId="1" fillId="0" borderId="0" applyFont="0" applyFill="0" applyBorder="0" applyAlignment="0" applyProtection="0"/>
    <xf numFmtId="0" fontId="14" fillId="0" borderId="0"/>
    <xf numFmtId="0" fontId="17" fillId="0" borderId="0"/>
    <xf numFmtId="0" fontId="1" fillId="0" borderId="0"/>
  </cellStyleXfs>
  <cellXfs count="205">
    <xf numFmtId="0" fontId="0" fillId="0" borderId="0" xfId="0"/>
    <xf numFmtId="0" fontId="3" fillId="2" borderId="0" xfId="0" applyFont="1" applyFill="1"/>
    <xf numFmtId="0" fontId="5" fillId="2" borderId="0" xfId="0" applyFont="1" applyFill="1" applyAlignment="1">
      <alignment vertical="center"/>
    </xf>
    <xf numFmtId="0" fontId="6" fillId="2" borderId="1"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3" fillId="2" borderId="0" xfId="0" applyFont="1" applyFill="1" applyAlignment="1">
      <alignment wrapText="1"/>
    </xf>
    <xf numFmtId="0" fontId="6" fillId="2" borderId="0" xfId="0" applyFont="1" applyFill="1" applyAlignment="1">
      <alignment horizontal="left" vertical="center"/>
    </xf>
    <xf numFmtId="165" fontId="6" fillId="2" borderId="4" xfId="0" applyNumberFormat="1" applyFont="1" applyFill="1" applyBorder="1" applyAlignment="1">
      <alignment vertical="center"/>
    </xf>
    <xf numFmtId="166" fontId="6" fillId="2" borderId="0" xfId="0" applyNumberFormat="1" applyFont="1" applyFill="1" applyAlignment="1">
      <alignment vertical="center"/>
    </xf>
    <xf numFmtId="167" fontId="6" fillId="2" borderId="4" xfId="0" applyNumberFormat="1" applyFont="1" applyFill="1" applyBorder="1" applyAlignment="1">
      <alignment vertical="center"/>
    </xf>
    <xf numFmtId="0" fontId="6" fillId="2" borderId="5" xfId="0" applyFont="1" applyFill="1" applyBorder="1" applyAlignment="1">
      <alignment horizontal="left" vertical="center"/>
    </xf>
    <xf numFmtId="166" fontId="8" fillId="2" borderId="0" xfId="0" applyNumberFormat="1" applyFont="1" applyFill="1"/>
    <xf numFmtId="0" fontId="6" fillId="2" borderId="2" xfId="0" applyFont="1" applyFill="1" applyBorder="1" applyAlignment="1">
      <alignment horizontal="left" vertical="center"/>
    </xf>
    <xf numFmtId="166" fontId="8" fillId="2" borderId="6" xfId="0" applyNumberFormat="1" applyFont="1" applyFill="1" applyBorder="1"/>
    <xf numFmtId="0" fontId="9" fillId="2" borderId="0" xfId="0" applyFont="1" applyFill="1" applyAlignment="1">
      <alignment vertical="center"/>
    </xf>
    <xf numFmtId="0" fontId="9" fillId="2" borderId="0" xfId="0" applyFont="1" applyFill="1" applyAlignment="1">
      <alignment vertical="top"/>
    </xf>
    <xf numFmtId="4" fontId="3" fillId="2" borderId="0" xfId="0" applyNumberFormat="1" applyFont="1" applyFill="1"/>
    <xf numFmtId="166" fontId="5" fillId="2" borderId="5" xfId="0" applyNumberFormat="1" applyFont="1" applyFill="1" applyBorder="1" applyAlignment="1">
      <alignment vertical="center"/>
    </xf>
    <xf numFmtId="4" fontId="8" fillId="2" borderId="0" xfId="1" applyNumberFormat="1" applyFont="1" applyFill="1" applyBorder="1"/>
    <xf numFmtId="165" fontId="8" fillId="2" borderId="0" xfId="0" applyNumberFormat="1" applyFont="1" applyFill="1"/>
    <xf numFmtId="166" fontId="5" fillId="2" borderId="0" xfId="0" applyNumberFormat="1" applyFont="1" applyFill="1" applyAlignment="1">
      <alignment vertical="center"/>
    </xf>
    <xf numFmtId="166" fontId="5" fillId="2" borderId="0" xfId="1" applyNumberFormat="1" applyFont="1" applyFill="1" applyBorder="1" applyAlignment="1">
      <alignment horizontal="right" vertical="center"/>
    </xf>
    <xf numFmtId="166" fontId="8" fillId="2" borderId="2" xfId="0" applyNumberFormat="1" applyFont="1" applyFill="1" applyBorder="1"/>
    <xf numFmtId="166" fontId="5" fillId="2" borderId="2" xfId="1" applyNumberFormat="1" applyFont="1" applyFill="1" applyBorder="1" applyAlignment="1">
      <alignment horizontal="right" vertical="center"/>
    </xf>
    <xf numFmtId="4" fontId="8" fillId="2" borderId="2" xfId="1" applyNumberFormat="1" applyFont="1" applyFill="1" applyBorder="1"/>
    <xf numFmtId="165" fontId="8" fillId="2" borderId="2" xfId="0" applyNumberFormat="1" applyFont="1" applyFill="1" applyBorder="1"/>
    <xf numFmtId="0" fontId="6" fillId="2" borderId="0" xfId="0" applyFont="1" applyFill="1" applyAlignment="1">
      <alignment horizontal="right" vertical="center"/>
    </xf>
    <xf numFmtId="0" fontId="6" fillId="2" borderId="0" xfId="0" applyFont="1" applyFill="1" applyAlignment="1">
      <alignment horizontal="center" vertical="center" wrapText="1"/>
    </xf>
    <xf numFmtId="166" fontId="6" fillId="2" borderId="4" xfId="0" applyNumberFormat="1" applyFont="1" applyFill="1" applyBorder="1" applyAlignment="1">
      <alignment vertical="center"/>
    </xf>
    <xf numFmtId="166" fontId="6" fillId="2" borderId="4" xfId="1" applyNumberFormat="1" applyFont="1" applyFill="1" applyBorder="1" applyAlignment="1">
      <alignment vertical="center"/>
    </xf>
    <xf numFmtId="166" fontId="6" fillId="2" borderId="0" xfId="1" applyNumberFormat="1" applyFont="1" applyFill="1" applyBorder="1" applyAlignment="1">
      <alignment vertical="center"/>
    </xf>
    <xf numFmtId="0" fontId="10" fillId="2" borderId="5" xfId="0" applyFont="1" applyFill="1" applyBorder="1" applyAlignment="1">
      <alignment horizontal="left" vertical="center"/>
    </xf>
    <xf numFmtId="166" fontId="8" fillId="2" borderId="0" xfId="1" applyNumberFormat="1" applyFont="1" applyFill="1"/>
    <xf numFmtId="166" fontId="9" fillId="2" borderId="5" xfId="1" applyNumberFormat="1" applyFont="1" applyFill="1" applyBorder="1" applyAlignment="1">
      <alignment vertical="center"/>
    </xf>
    <xf numFmtId="166" fontId="9" fillId="2" borderId="0" xfId="1" applyNumberFormat="1" applyFont="1" applyFill="1" applyBorder="1" applyAlignment="1">
      <alignment vertical="center"/>
    </xf>
    <xf numFmtId="166" fontId="9" fillId="2" borderId="0" xfId="0" applyNumberFormat="1" applyFont="1" applyFill="1" applyAlignment="1">
      <alignment vertical="center"/>
    </xf>
    <xf numFmtId="0" fontId="11" fillId="2" borderId="0" xfId="0" applyFont="1" applyFill="1" applyAlignment="1">
      <alignment vertical="center"/>
    </xf>
    <xf numFmtId="0" fontId="10" fillId="2" borderId="0" xfId="0" applyFont="1" applyFill="1" applyAlignment="1">
      <alignment horizontal="left" vertical="center"/>
    </xf>
    <xf numFmtId="166" fontId="8" fillId="2" borderId="0" xfId="1" applyNumberFormat="1" applyFont="1" applyFill="1" applyBorder="1"/>
    <xf numFmtId="166" fontId="9" fillId="2" borderId="0" xfId="1" applyNumberFormat="1" applyFont="1" applyFill="1" applyBorder="1" applyAlignment="1">
      <alignment horizontal="right" vertical="center"/>
    </xf>
    <xf numFmtId="0" fontId="10" fillId="2" borderId="2" xfId="0" applyFont="1" applyFill="1" applyBorder="1" applyAlignment="1">
      <alignment horizontal="left" vertical="center"/>
    </xf>
    <xf numFmtId="166" fontId="8" fillId="2" borderId="6" xfId="1" applyNumberFormat="1" applyFont="1" applyFill="1" applyBorder="1"/>
    <xf numFmtId="166" fontId="9" fillId="2" borderId="2" xfId="1" applyNumberFormat="1" applyFont="1" applyFill="1" applyBorder="1" applyAlignment="1">
      <alignment horizontal="right" vertical="center"/>
    </xf>
    <xf numFmtId="0" fontId="8" fillId="2" borderId="0" xfId="0" applyFont="1" applyFill="1"/>
    <xf numFmtId="0" fontId="5" fillId="2" borderId="0" xfId="0" applyFont="1" applyFill="1" applyAlignment="1">
      <alignment horizontal="center" vertical="center"/>
    </xf>
    <xf numFmtId="0" fontId="6" fillId="2" borderId="3" xfId="0" applyFont="1" applyFill="1" applyBorder="1" applyAlignment="1">
      <alignment horizontal="center" vertical="center"/>
    </xf>
    <xf numFmtId="168" fontId="6" fillId="2" borderId="0" xfId="1" applyNumberFormat="1" applyFont="1" applyFill="1" applyBorder="1" applyAlignment="1">
      <alignment horizontal="left" vertical="center"/>
    </xf>
    <xf numFmtId="168" fontId="5" fillId="2" borderId="0" xfId="1" applyNumberFormat="1" applyFont="1" applyFill="1" applyBorder="1" applyAlignment="1">
      <alignment vertical="center"/>
    </xf>
    <xf numFmtId="166" fontId="5" fillId="2" borderId="5" xfId="1" applyNumberFormat="1" applyFont="1" applyFill="1" applyBorder="1" applyAlignment="1">
      <alignment vertical="center"/>
    </xf>
    <xf numFmtId="166" fontId="5" fillId="2" borderId="0" xfId="1" applyNumberFormat="1" applyFont="1" applyFill="1" applyBorder="1" applyAlignment="1">
      <alignment vertical="center"/>
    </xf>
    <xf numFmtId="166" fontId="12" fillId="2" borderId="0" xfId="0" applyNumberFormat="1" applyFont="1" applyFill="1" applyAlignment="1">
      <alignment horizontal="right" vertical="center"/>
    </xf>
    <xf numFmtId="164" fontId="5" fillId="2" borderId="0" xfId="1" applyFont="1" applyFill="1" applyBorder="1" applyAlignment="1">
      <alignment vertical="center"/>
    </xf>
    <xf numFmtId="0" fontId="5" fillId="2" borderId="0" xfId="0" applyFont="1" applyFill="1"/>
    <xf numFmtId="0" fontId="6" fillId="2" borderId="1" xfId="0" applyFont="1" applyFill="1" applyBorder="1" applyAlignment="1">
      <alignment horizontal="center" vertical="center" wrapText="1"/>
    </xf>
    <xf numFmtId="0" fontId="6" fillId="2" borderId="4" xfId="0" applyFont="1" applyFill="1" applyBorder="1" applyAlignment="1">
      <alignment horizontal="left" vertical="center"/>
    </xf>
    <xf numFmtId="2" fontId="9" fillId="2" borderId="0" xfId="2" applyNumberFormat="1" applyFont="1" applyFill="1" applyAlignment="1">
      <alignment vertical="center"/>
    </xf>
    <xf numFmtId="0" fontId="12" fillId="2" borderId="0" xfId="0" applyFont="1" applyFill="1" applyAlignment="1">
      <alignment horizontal="right" vertical="center"/>
    </xf>
    <xf numFmtId="0" fontId="8" fillId="2" borderId="0" xfId="0" applyFont="1" applyFill="1" applyAlignment="1">
      <alignment vertical="center"/>
    </xf>
    <xf numFmtId="166" fontId="3" fillId="2" borderId="0" xfId="0" applyNumberFormat="1" applyFont="1" applyFill="1"/>
    <xf numFmtId="166" fontId="6"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xf>
    <xf numFmtId="166" fontId="6" fillId="2" borderId="2" xfId="0" applyNumberFormat="1" applyFont="1" applyFill="1" applyBorder="1" applyAlignment="1">
      <alignment horizontal="center" vertical="center" wrapText="1"/>
    </xf>
    <xf numFmtId="166" fontId="6" fillId="2" borderId="3" xfId="0" applyNumberFormat="1" applyFont="1" applyFill="1" applyBorder="1" applyAlignment="1">
      <alignment horizontal="center" vertical="center" wrapText="1"/>
    </xf>
    <xf numFmtId="168" fontId="6" fillId="2" borderId="4" xfId="1" applyNumberFormat="1" applyFont="1" applyFill="1" applyBorder="1" applyAlignment="1">
      <alignment vertical="center"/>
    </xf>
    <xf numFmtId="166" fontId="8" fillId="2" borderId="0" xfId="1" applyNumberFormat="1" applyFont="1" applyFill="1" applyBorder="1" applyAlignment="1">
      <alignment vertical="center"/>
    </xf>
    <xf numFmtId="168" fontId="9" fillId="2" borderId="0" xfId="1" applyNumberFormat="1" applyFont="1" applyFill="1" applyBorder="1" applyAlignment="1">
      <alignment vertical="center"/>
    </xf>
    <xf numFmtId="168" fontId="8" fillId="2" borderId="0" xfId="1" applyNumberFormat="1" applyFont="1" applyFill="1" applyBorder="1"/>
    <xf numFmtId="168" fontId="8" fillId="2" borderId="0" xfId="1" applyNumberFormat="1" applyFont="1" applyFill="1"/>
    <xf numFmtId="0" fontId="3" fillId="2" borderId="0" xfId="0" applyFont="1" applyFill="1" applyAlignment="1">
      <alignment horizontal="left"/>
    </xf>
    <xf numFmtId="167" fontId="3" fillId="2" borderId="0" xfId="0" applyNumberFormat="1" applyFont="1" applyFill="1" applyAlignment="1">
      <alignment horizontal="right" indent="2"/>
    </xf>
    <xf numFmtId="0" fontId="13" fillId="2" borderId="0" xfId="0" applyFont="1" applyFill="1" applyAlignment="1">
      <alignment vertical="top"/>
    </xf>
    <xf numFmtId="168" fontId="3" fillId="2" borderId="0" xfId="0" applyNumberFormat="1" applyFont="1" applyFill="1"/>
    <xf numFmtId="2" fontId="9" fillId="2" borderId="7" xfId="2" applyNumberFormat="1" applyFont="1" applyFill="1" applyBorder="1" applyAlignment="1">
      <alignment vertical="center"/>
    </xf>
    <xf numFmtId="165" fontId="8" fillId="2" borderId="6" xfId="0" applyNumberFormat="1" applyFont="1" applyFill="1" applyBorder="1"/>
    <xf numFmtId="3" fontId="22" fillId="2" borderId="0" xfId="0" applyNumberFormat="1" applyFont="1" applyFill="1" applyAlignment="1">
      <alignment horizontal="right" vertical="center" indent="2"/>
    </xf>
    <xf numFmtId="0" fontId="23" fillId="2" borderId="0" xfId="0" applyFont="1" applyFill="1"/>
    <xf numFmtId="0" fontId="20" fillId="2" borderId="0" xfId="0" applyFont="1" applyFill="1" applyAlignment="1">
      <alignment horizontal="center" vertical="center"/>
    </xf>
    <xf numFmtId="0" fontId="18" fillId="2" borderId="0" xfId="0" applyFont="1" applyFill="1"/>
    <xf numFmtId="0" fontId="8" fillId="2" borderId="0" xfId="0" applyFont="1" applyFill="1" applyAlignment="1">
      <alignment horizontal="left" vertical="center"/>
    </xf>
    <xf numFmtId="168" fontId="12" fillId="2" borderId="0" xfId="1" applyNumberFormat="1" applyFont="1" applyFill="1" applyBorder="1" applyAlignment="1">
      <alignment horizontal="left" vertical="center"/>
    </xf>
    <xf numFmtId="168" fontId="24" fillId="2" borderId="6" xfId="1" applyNumberFormat="1" applyFont="1" applyFill="1" applyBorder="1"/>
    <xf numFmtId="0" fontId="25" fillId="2" borderId="0" xfId="0" applyFont="1" applyFill="1"/>
    <xf numFmtId="0" fontId="19" fillId="2" borderId="0" xfId="0" applyFont="1" applyFill="1"/>
    <xf numFmtId="0" fontId="22" fillId="2" borderId="0" xfId="0" applyFont="1" applyFill="1"/>
    <xf numFmtId="0" fontId="3" fillId="2" borderId="0" xfId="0" applyFont="1" applyFill="1" applyAlignment="1">
      <alignment vertical="top"/>
    </xf>
    <xf numFmtId="0" fontId="18" fillId="2" borderId="0" xfId="0" applyFont="1" applyFill="1" applyAlignment="1">
      <alignment vertical="top"/>
    </xf>
    <xf numFmtId="0" fontId="16" fillId="2" borderId="0" xfId="0" applyFont="1" applyFill="1" applyAlignment="1">
      <alignment horizontal="center" vertical="center"/>
    </xf>
    <xf numFmtId="0" fontId="22" fillId="2" borderId="0" xfId="0" applyFont="1" applyFill="1" applyAlignment="1">
      <alignment horizontal="center" vertical="center"/>
    </xf>
    <xf numFmtId="0" fontId="26" fillId="2" borderId="0" xfId="0" applyFont="1" applyFill="1" applyAlignment="1">
      <alignment vertical="center"/>
    </xf>
    <xf numFmtId="0" fontId="8" fillId="2" borderId="0" xfId="0" applyFont="1" applyFill="1" applyAlignment="1">
      <alignment vertical="top"/>
    </xf>
    <xf numFmtId="0" fontId="16" fillId="2" borderId="0" xfId="0" applyFont="1" applyFill="1"/>
    <xf numFmtId="0" fontId="5" fillId="2" borderId="4" xfId="0" applyFont="1" applyFill="1" applyBorder="1" applyAlignment="1">
      <alignment horizontal="left" vertical="center"/>
    </xf>
    <xf numFmtId="166" fontId="5" fillId="2" borderId="4" xfId="0" applyNumberFormat="1" applyFont="1" applyFill="1" applyBorder="1" applyAlignment="1">
      <alignment vertical="center"/>
    </xf>
    <xf numFmtId="0" fontId="9" fillId="2" borderId="0" xfId="0" applyFont="1" applyFill="1" applyAlignment="1">
      <alignment horizontal="right" vertical="center"/>
    </xf>
    <xf numFmtId="0" fontId="15" fillId="2" borderId="0" xfId="0" applyFont="1" applyFill="1"/>
    <xf numFmtId="0" fontId="13" fillId="2" borderId="0" xfId="0" applyFont="1" applyFill="1" applyAlignment="1">
      <alignment vertical="center"/>
    </xf>
    <xf numFmtId="166" fontId="18" fillId="2" borderId="0" xfId="0" applyNumberFormat="1" applyFont="1" applyFill="1"/>
    <xf numFmtId="168" fontId="22" fillId="2" borderId="6" xfId="1" applyNumberFormat="1" applyFont="1" applyFill="1" applyBorder="1"/>
    <xf numFmtId="0" fontId="22" fillId="2" borderId="0" xfId="0" applyFont="1" applyFill="1" applyAlignment="1">
      <alignment horizontal="left" vertical="center"/>
    </xf>
    <xf numFmtId="0" fontId="3" fillId="0" borderId="0" xfId="0" applyFont="1"/>
    <xf numFmtId="0" fontId="6" fillId="2" borderId="2" xfId="0" applyFont="1" applyFill="1" applyBorder="1" applyAlignment="1">
      <alignment horizontal="center" vertical="center"/>
    </xf>
    <xf numFmtId="2" fontId="13" fillId="2" borderId="0" xfId="0" applyNumberFormat="1" applyFont="1" applyFill="1" applyAlignment="1">
      <alignment horizontal="center"/>
    </xf>
    <xf numFmtId="2" fontId="15" fillId="3" borderId="0" xfId="2" applyNumberFormat="1" applyFont="1" applyFill="1" applyAlignment="1">
      <alignment horizontal="left" vertical="center"/>
    </xf>
    <xf numFmtId="2" fontId="15" fillId="3" borderId="0" xfId="2" applyNumberFormat="1" applyFont="1" applyFill="1" applyAlignment="1">
      <alignment horizontal="center" vertical="center" wrapText="1"/>
    </xf>
    <xf numFmtId="2" fontId="15" fillId="3" borderId="9" xfId="2" applyNumberFormat="1"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4" borderId="9" xfId="0" applyFont="1" applyFill="1" applyBorder="1" applyAlignment="1">
      <alignment horizontal="center" vertical="center" wrapText="1"/>
    </xf>
    <xf numFmtId="0" fontId="15" fillId="4" borderId="0" xfId="0" applyFont="1" applyFill="1" applyAlignment="1">
      <alignment horizontal="center" vertical="center" wrapText="1"/>
    </xf>
    <xf numFmtId="2" fontId="15" fillId="4" borderId="0" xfId="2" applyNumberFormat="1" applyFont="1" applyFill="1" applyAlignment="1">
      <alignment horizontal="center" vertical="center" wrapText="1"/>
    </xf>
    <xf numFmtId="0" fontId="15" fillId="5" borderId="9" xfId="0" applyFont="1" applyFill="1" applyBorder="1" applyAlignment="1">
      <alignment horizontal="center" vertical="center" wrapText="1"/>
    </xf>
    <xf numFmtId="0" fontId="15" fillId="5" borderId="0" xfId="0" applyFont="1" applyFill="1" applyAlignment="1">
      <alignment horizontal="center" vertical="center" wrapText="1"/>
    </xf>
    <xf numFmtId="2" fontId="15" fillId="5" borderId="0" xfId="2" applyNumberFormat="1" applyFont="1" applyFill="1" applyAlignment="1">
      <alignment horizontal="center" vertical="center" wrapText="1"/>
    </xf>
    <xf numFmtId="0" fontId="32" fillId="6" borderId="0" xfId="0" applyFont="1" applyFill="1" applyAlignment="1">
      <alignment horizontal="center" vertical="center"/>
    </xf>
    <xf numFmtId="166" fontId="32" fillId="6" borderId="0" xfId="2" applyNumberFormat="1" applyFont="1" applyFill="1" applyAlignment="1">
      <alignment vertical="center"/>
    </xf>
    <xf numFmtId="166" fontId="31" fillId="7" borderId="0" xfId="2" applyNumberFormat="1" applyFont="1" applyFill="1" applyAlignment="1">
      <alignment vertical="center"/>
    </xf>
    <xf numFmtId="166" fontId="31" fillId="8" borderId="0" xfId="2" applyNumberFormat="1" applyFont="1" applyFill="1" applyAlignment="1">
      <alignment vertical="center"/>
    </xf>
    <xf numFmtId="166" fontId="8" fillId="2" borderId="0" xfId="0" applyNumberFormat="1" applyFont="1" applyFill="1" applyAlignment="1">
      <alignment vertical="center"/>
    </xf>
    <xf numFmtId="166" fontId="16" fillId="0" borderId="0" xfId="0" applyNumberFormat="1" applyFont="1"/>
    <xf numFmtId="0" fontId="8" fillId="2" borderId="8" xfId="0" applyFont="1" applyFill="1" applyBorder="1"/>
    <xf numFmtId="166" fontId="8" fillId="2" borderId="8" xfId="0" applyNumberFormat="1" applyFont="1" applyFill="1" applyBorder="1"/>
    <xf numFmtId="2" fontId="9" fillId="2" borderId="10" xfId="2" applyNumberFormat="1" applyFont="1" applyFill="1" applyBorder="1" applyAlignment="1">
      <alignment vertical="center"/>
    </xf>
    <xf numFmtId="166" fontId="8" fillId="2" borderId="10" xfId="0" applyNumberFormat="1" applyFont="1" applyFill="1" applyBorder="1" applyAlignment="1">
      <alignment vertical="center"/>
    </xf>
    <xf numFmtId="166" fontId="8" fillId="2" borderId="10" xfId="0" applyNumberFormat="1" applyFont="1" applyFill="1" applyBorder="1"/>
    <xf numFmtId="166" fontId="8" fillId="2" borderId="7" xfId="0" applyNumberFormat="1" applyFont="1" applyFill="1" applyBorder="1" applyAlignment="1">
      <alignment vertical="center"/>
    </xf>
    <xf numFmtId="166" fontId="8" fillId="2" borderId="11" xfId="0" applyNumberFormat="1" applyFont="1" applyFill="1" applyBorder="1"/>
    <xf numFmtId="0" fontId="8" fillId="2" borderId="0" xfId="0" applyFont="1" applyFill="1" applyAlignment="1">
      <alignment vertical="center" wrapText="1"/>
    </xf>
    <xf numFmtId="164" fontId="8" fillId="2" borderId="0" xfId="1" applyFont="1" applyFill="1"/>
    <xf numFmtId="164" fontId="3" fillId="2" borderId="0" xfId="0" applyNumberFormat="1" applyFont="1" applyFill="1"/>
    <xf numFmtId="168" fontId="8" fillId="2" borderId="0" xfId="1" applyNumberFormat="1" applyFont="1" applyFill="1" applyBorder="1" applyAlignment="1">
      <alignment vertical="center"/>
    </xf>
    <xf numFmtId="168" fontId="16" fillId="0" borderId="0" xfId="1" applyNumberFormat="1" applyFont="1" applyFill="1"/>
    <xf numFmtId="168" fontId="8" fillId="2" borderId="8" xfId="1" applyNumberFormat="1" applyFont="1" applyFill="1" applyBorder="1"/>
    <xf numFmtId="168" fontId="9" fillId="2" borderId="10" xfId="1" applyNumberFormat="1" applyFont="1" applyFill="1" applyBorder="1" applyAlignment="1">
      <alignment vertical="center"/>
    </xf>
    <xf numFmtId="168" fontId="8" fillId="2" borderId="10" xfId="1" applyNumberFormat="1" applyFont="1" applyFill="1" applyBorder="1" applyAlignment="1">
      <alignment vertical="center"/>
    </xf>
    <xf numFmtId="168" fontId="8" fillId="2" borderId="10" xfId="1" applyNumberFormat="1" applyFont="1" applyFill="1" applyBorder="1"/>
    <xf numFmtId="0" fontId="8" fillId="2" borderId="12" xfId="0" applyFont="1" applyFill="1" applyBorder="1"/>
    <xf numFmtId="0" fontId="18" fillId="2" borderId="0" xfId="0" applyFont="1" applyFill="1" applyAlignment="1">
      <alignment vertical="center"/>
    </xf>
    <xf numFmtId="0" fontId="18" fillId="2" borderId="0" xfId="0" applyFont="1" applyFill="1" applyAlignment="1">
      <alignment vertical="center" wrapText="1"/>
    </xf>
    <xf numFmtId="164" fontId="3" fillId="2" borderId="0" xfId="1" applyFont="1" applyFill="1"/>
    <xf numFmtId="2" fontId="8" fillId="2" borderId="0" xfId="2" applyNumberFormat="1" applyFont="1" applyFill="1" applyAlignment="1">
      <alignment vertical="center"/>
    </xf>
    <xf numFmtId="43" fontId="3" fillId="2" borderId="0" xfId="0" applyNumberFormat="1" applyFont="1" applyFill="1"/>
    <xf numFmtId="166" fontId="5" fillId="2" borderId="13" xfId="0" applyNumberFormat="1" applyFont="1" applyFill="1" applyBorder="1" applyAlignment="1">
      <alignment vertical="center"/>
    </xf>
    <xf numFmtId="166" fontId="6" fillId="2" borderId="13" xfId="0" applyNumberFormat="1" applyFont="1" applyFill="1" applyBorder="1" applyAlignment="1">
      <alignment vertical="center"/>
    </xf>
    <xf numFmtId="0" fontId="18" fillId="2" borderId="2" xfId="0" applyFont="1" applyFill="1" applyBorder="1" applyAlignment="1">
      <alignment horizont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xf>
    <xf numFmtId="0" fontId="8" fillId="2" borderId="0" xfId="3" applyFont="1" applyFill="1" applyAlignment="1">
      <alignment horizontal="left" vertical="top" wrapText="1"/>
    </xf>
    <xf numFmtId="0" fontId="18" fillId="2" borderId="0" xfId="0" applyFont="1"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2" fillId="2" borderId="0" xfId="0" applyFont="1" applyFill="1" applyAlignment="1">
      <alignment horizontal="center" vertical="center"/>
    </xf>
    <xf numFmtId="0" fontId="3" fillId="2" borderId="0" xfId="0" applyFont="1" applyFill="1" applyAlignment="1">
      <alignment horizontal="center"/>
    </xf>
    <xf numFmtId="0" fontId="8" fillId="2" borderId="2" xfId="0" applyFont="1" applyFill="1" applyBorder="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3" fillId="2" borderId="2" xfId="0" applyFont="1" applyFill="1" applyBorder="1" applyAlignment="1">
      <alignment horizontal="center"/>
    </xf>
    <xf numFmtId="0" fontId="8" fillId="2" borderId="0" xfId="3" applyFont="1" applyFill="1" applyAlignment="1">
      <alignment horizontal="left" vertical="center" wrapText="1"/>
    </xf>
    <xf numFmtId="166" fontId="6" fillId="2" borderId="1" xfId="0" applyNumberFormat="1" applyFont="1" applyFill="1" applyBorder="1" applyAlignment="1">
      <alignment horizontal="center" vertical="center" wrapText="1"/>
    </xf>
    <xf numFmtId="166" fontId="6" fillId="2" borderId="2"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xf>
    <xf numFmtId="2" fontId="6" fillId="2" borderId="0" xfId="0" applyNumberFormat="1" applyFont="1" applyFill="1" applyAlignment="1">
      <alignment horizontal="center" vertical="center"/>
    </xf>
    <xf numFmtId="0" fontId="27" fillId="2" borderId="0" xfId="0" applyFont="1" applyFill="1" applyAlignment="1">
      <alignment horizontal="center" vertical="center" wrapText="1"/>
    </xf>
    <xf numFmtId="0" fontId="27" fillId="2" borderId="0" xfId="0" applyFont="1" applyFill="1" applyAlignment="1">
      <alignment horizontal="center" vertical="center"/>
    </xf>
    <xf numFmtId="2" fontId="13" fillId="2" borderId="0" xfId="0" applyNumberFormat="1" applyFont="1" applyFill="1" applyAlignment="1">
      <alignment horizontal="center" vertical="top"/>
    </xf>
    <xf numFmtId="0" fontId="29" fillId="2" borderId="0" xfId="0" applyFont="1" applyFill="1" applyAlignment="1">
      <alignment horizontal="center" vertical="center" wrapText="1"/>
    </xf>
    <xf numFmtId="2" fontId="13" fillId="2" borderId="0" xfId="0" applyNumberFormat="1" applyFont="1" applyFill="1" applyAlignment="1">
      <alignment horizontal="center"/>
    </xf>
    <xf numFmtId="0" fontId="30" fillId="3" borderId="0" xfId="0" applyFont="1" applyFill="1" applyAlignment="1">
      <alignment horizontal="center" vertical="center"/>
    </xf>
    <xf numFmtId="0" fontId="30" fillId="3" borderId="8" xfId="0" applyFont="1" applyFill="1" applyBorder="1" applyAlignment="1">
      <alignment horizontal="center" vertical="center" wrapText="1"/>
    </xf>
    <xf numFmtId="2" fontId="31" fillId="4" borderId="0" xfId="2" applyNumberFormat="1" applyFont="1" applyFill="1" applyAlignment="1">
      <alignment horizontal="center" vertical="center"/>
    </xf>
    <xf numFmtId="0" fontId="31" fillId="4" borderId="8" xfId="0" applyFont="1" applyFill="1" applyBorder="1" applyAlignment="1">
      <alignment horizontal="center" vertical="center" wrapText="1"/>
    </xf>
    <xf numFmtId="2" fontId="31" fillId="5" borderId="0" xfId="2" applyNumberFormat="1" applyFont="1" applyFill="1" applyAlignment="1">
      <alignment horizontal="center" vertical="center"/>
    </xf>
    <xf numFmtId="0" fontId="31" fillId="5" borderId="8" xfId="0" applyFont="1" applyFill="1" applyBorder="1" applyAlignment="1">
      <alignment horizontal="center" vertical="center" wrapText="1"/>
    </xf>
    <xf numFmtId="2" fontId="30" fillId="3" borderId="8" xfId="2" applyNumberFormat="1" applyFont="1" applyFill="1" applyBorder="1" applyAlignment="1">
      <alignment horizontal="center" vertical="center"/>
    </xf>
    <xf numFmtId="2" fontId="30" fillId="5" borderId="9" xfId="2" applyNumberFormat="1" applyFont="1" applyFill="1" applyBorder="1" applyAlignment="1">
      <alignment horizontal="center" vertical="center"/>
    </xf>
    <xf numFmtId="2" fontId="30" fillId="5" borderId="0" xfId="2" applyNumberFormat="1" applyFont="1" applyFill="1" applyAlignment="1">
      <alignment horizontal="center" vertical="center"/>
    </xf>
    <xf numFmtId="0" fontId="30" fillId="5" borderId="8" xfId="0" applyFont="1" applyFill="1" applyBorder="1" applyAlignment="1">
      <alignment horizontal="center" vertical="center" wrapText="1"/>
    </xf>
    <xf numFmtId="167" fontId="30" fillId="5" borderId="0" xfId="2" applyNumberFormat="1" applyFont="1" applyFill="1" applyAlignment="1">
      <alignment horizontal="center" vertical="center" wrapText="1"/>
    </xf>
    <xf numFmtId="0" fontId="8" fillId="2" borderId="0" xfId="0" applyFont="1" applyFill="1" applyAlignment="1">
      <alignment horizontal="left" vertical="center" wrapText="1"/>
    </xf>
    <xf numFmtId="0" fontId="30" fillId="3" borderId="0" xfId="0" applyFont="1" applyFill="1" applyAlignment="1">
      <alignment horizontal="center" vertical="center" wrapText="1"/>
    </xf>
    <xf numFmtId="167" fontId="30" fillId="3" borderId="0" xfId="2" applyNumberFormat="1" applyFont="1" applyFill="1" applyAlignment="1">
      <alignment horizontal="center" vertical="center" wrapText="1"/>
    </xf>
    <xf numFmtId="2" fontId="30" fillId="4" borderId="9" xfId="2" applyNumberFormat="1" applyFont="1" applyFill="1" applyBorder="1" applyAlignment="1">
      <alignment horizontal="center" vertical="center"/>
    </xf>
    <xf numFmtId="2" fontId="30" fillId="4" borderId="0" xfId="2" applyNumberFormat="1" applyFont="1" applyFill="1" applyAlignment="1">
      <alignment horizontal="center" vertical="center"/>
    </xf>
    <xf numFmtId="0" fontId="30" fillId="4" borderId="8" xfId="0" applyFont="1" applyFill="1" applyBorder="1" applyAlignment="1">
      <alignment horizontal="center" vertical="center" wrapText="1"/>
    </xf>
    <xf numFmtId="167" fontId="30" fillId="4" borderId="0" xfId="2" applyNumberFormat="1" applyFont="1" applyFill="1" applyAlignment="1">
      <alignment horizontal="center" vertical="center" wrapText="1"/>
    </xf>
    <xf numFmtId="0" fontId="18" fillId="2" borderId="0" xfId="0" applyFont="1" applyFill="1" applyAlignment="1">
      <alignment horizontal="left" vertical="center" wrapText="1"/>
    </xf>
    <xf numFmtId="0" fontId="18" fillId="2" borderId="0" xfId="0" applyFont="1" applyFill="1" applyAlignment="1">
      <alignment horizontal="left" vertical="center"/>
    </xf>
    <xf numFmtId="0" fontId="20" fillId="2" borderId="0" xfId="0" applyFont="1" applyFill="1" applyAlignment="1">
      <alignment horizontal="center" vertical="center"/>
    </xf>
    <xf numFmtId="166" fontId="6" fillId="2" borderId="4" xfId="0" applyNumberFormat="1" applyFont="1" applyFill="1" applyBorder="1" applyAlignment="1">
      <alignment horizontal="center" vertical="center"/>
    </xf>
    <xf numFmtId="166" fontId="8" fillId="2" borderId="2" xfId="0" applyNumberFormat="1" applyFont="1" applyFill="1" applyBorder="1" applyAlignment="1">
      <alignment horizontal="center"/>
    </xf>
    <xf numFmtId="0" fontId="18" fillId="2" borderId="0" xfId="3" applyFont="1" applyFill="1" applyAlignment="1">
      <alignment horizontal="left" vertical="center" wrapText="1"/>
    </xf>
    <xf numFmtId="0" fontId="13" fillId="2" borderId="0" xfId="0" applyFont="1" applyFill="1" applyAlignment="1">
      <alignment horizontal="left" vertical="top" wrapText="1"/>
    </xf>
    <xf numFmtId="166" fontId="3" fillId="2" borderId="2" xfId="0" applyNumberFormat="1" applyFont="1" applyFill="1" applyBorder="1" applyAlignment="1">
      <alignment horizontal="center"/>
    </xf>
    <xf numFmtId="0" fontId="21" fillId="2" borderId="0" xfId="0" applyFont="1" applyFill="1" applyAlignment="1">
      <alignment horizontal="center"/>
    </xf>
    <xf numFmtId="0" fontId="18" fillId="2" borderId="0" xfId="3" applyFont="1" applyFill="1" applyAlignment="1">
      <alignment horizontal="left" vertical="top" wrapText="1"/>
    </xf>
    <xf numFmtId="0" fontId="3" fillId="2" borderId="0" xfId="0" applyFont="1" applyFill="1" applyAlignment="1">
      <alignment horizontal="center" vertical="top"/>
    </xf>
    <xf numFmtId="0" fontId="21" fillId="2" borderId="0" xfId="0" applyFont="1" applyFill="1" applyAlignment="1">
      <alignment horizontal="center" vertical="top"/>
    </xf>
    <xf numFmtId="0" fontId="3" fillId="2" borderId="0" xfId="0" applyFont="1" applyFill="1" applyAlignment="1">
      <alignment horizontal="left" vertical="center" wrapText="1"/>
    </xf>
    <xf numFmtId="0" fontId="8" fillId="2" borderId="0" xfId="0" applyFont="1" applyFill="1" applyAlignment="1">
      <alignment horizontal="left" vertical="top"/>
    </xf>
    <xf numFmtId="0" fontId="6" fillId="2" borderId="6" xfId="0" applyFont="1" applyFill="1" applyBorder="1" applyAlignment="1">
      <alignment horizontal="left" vertical="center"/>
    </xf>
  </cellXfs>
  <cellStyles count="5">
    <cellStyle name="Millares" xfId="1" builtinId="3"/>
    <cellStyle name="Normal" xfId="0" builtinId="0"/>
    <cellStyle name="Normal 2" xfId="4" xr:uid="{00000000-0005-0000-0000-000002000000}"/>
    <cellStyle name="Normal 2 2" xfId="2" xr:uid="{00000000-0005-0000-0000-000003000000}"/>
    <cellStyle name="Normal_IEC17004" xfId="3" xr:uid="{00000000-0005-0000-0000-000004000000}"/>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5"/>
  <sheetViews>
    <sheetView topLeftCell="B1" zoomScale="90" zoomScaleNormal="90" zoomScalePageLayoutView="85" workbookViewId="0">
      <selection activeCell="T9" sqref="T9"/>
    </sheetView>
  </sheetViews>
  <sheetFormatPr baseColWidth="10" defaultColWidth="11.42578125" defaultRowHeight="16.5" x14ac:dyDescent="0.3"/>
  <cols>
    <col min="1" max="1" width="7.140625" style="1" customWidth="1"/>
    <col min="2" max="2" width="20.42578125" style="1" customWidth="1"/>
    <col min="3" max="3" width="10.7109375" style="1" customWidth="1"/>
    <col min="4" max="4" width="4.28515625" style="1" customWidth="1"/>
    <col min="5" max="5" width="10.85546875" style="1" customWidth="1"/>
    <col min="6" max="6" width="10.5703125" style="1" bestFit="1" customWidth="1"/>
    <col min="7" max="7" width="13.140625" style="1" bestFit="1" customWidth="1"/>
    <col min="8" max="8" width="5.28515625" style="1" customWidth="1"/>
    <col min="9" max="9" width="10.42578125" style="1" bestFit="1" customWidth="1"/>
    <col min="10" max="10" width="9" style="1" bestFit="1" customWidth="1"/>
    <col min="11" max="11" width="13.140625" style="1" bestFit="1" customWidth="1"/>
    <col min="12" max="12" width="5.7109375" style="1" customWidth="1"/>
    <col min="13" max="13" width="10.42578125" style="1" bestFit="1" customWidth="1"/>
    <col min="14" max="14" width="9" style="1" bestFit="1" customWidth="1"/>
    <col min="15" max="15" width="13.140625" style="1" bestFit="1" customWidth="1"/>
    <col min="16" max="16384" width="11.42578125" style="100"/>
  </cols>
  <sheetData>
    <row r="1" spans="1:19" s="76" customFormat="1" x14ac:dyDescent="0.3"/>
    <row r="2" spans="1:19" s="1" customFormat="1" x14ac:dyDescent="0.3"/>
    <row r="3" spans="1:19" s="82" customFormat="1" ht="33.950000000000003" customHeight="1" x14ac:dyDescent="0.25">
      <c r="B3" s="145" t="s">
        <v>0</v>
      </c>
      <c r="C3" s="145"/>
      <c r="D3" s="145"/>
      <c r="E3" s="145"/>
      <c r="F3" s="145"/>
      <c r="G3" s="145"/>
      <c r="H3" s="145"/>
      <c r="I3" s="145"/>
      <c r="J3" s="145"/>
      <c r="K3" s="145"/>
      <c r="L3" s="145"/>
      <c r="M3" s="145"/>
      <c r="N3" s="145"/>
      <c r="O3" s="145"/>
    </row>
    <row r="4" spans="1:19" s="1" customFormat="1" ht="16.5" customHeight="1" x14ac:dyDescent="0.3">
      <c r="B4" s="146" t="s">
        <v>130</v>
      </c>
      <c r="C4" s="146"/>
      <c r="D4" s="146"/>
      <c r="E4" s="146"/>
      <c r="F4" s="146"/>
      <c r="G4" s="146"/>
      <c r="H4" s="146"/>
      <c r="I4" s="146"/>
      <c r="J4" s="146"/>
      <c r="K4" s="146"/>
      <c r="L4" s="146"/>
      <c r="M4" s="146"/>
      <c r="N4" s="146"/>
      <c r="O4" s="146"/>
    </row>
    <row r="5" spans="1:19" s="1" customFormat="1" x14ac:dyDescent="0.3">
      <c r="O5" s="59"/>
    </row>
    <row r="6" spans="1:19" s="1" customFormat="1" ht="17.25" customHeight="1" thickBot="1" x14ac:dyDescent="0.35">
      <c r="B6" s="144" t="s">
        <v>2</v>
      </c>
      <c r="C6" s="144"/>
      <c r="D6" s="144"/>
      <c r="E6" s="144"/>
      <c r="F6" s="144"/>
      <c r="G6" s="144"/>
      <c r="H6" s="144"/>
      <c r="I6" s="144"/>
      <c r="J6" s="144"/>
      <c r="K6" s="144"/>
      <c r="L6" s="144"/>
      <c r="M6" s="144"/>
      <c r="N6" s="144"/>
      <c r="O6" s="144"/>
    </row>
    <row r="7" spans="1:19" s="1" customFormat="1" ht="21.75" customHeight="1" x14ac:dyDescent="0.3">
      <c r="B7" s="147" t="s">
        <v>3</v>
      </c>
      <c r="C7" s="149" t="s">
        <v>4</v>
      </c>
      <c r="D7" s="54"/>
      <c r="E7" s="151" t="s">
        <v>5</v>
      </c>
      <c r="F7" s="151"/>
      <c r="G7" s="151"/>
      <c r="H7" s="3"/>
      <c r="I7" s="147" t="s">
        <v>6</v>
      </c>
      <c r="J7" s="147"/>
      <c r="K7" s="147"/>
      <c r="L7" s="3"/>
      <c r="M7" s="147" t="s">
        <v>7</v>
      </c>
      <c r="N7" s="147"/>
      <c r="O7" s="147"/>
    </row>
    <row r="8" spans="1:19" s="1" customFormat="1" ht="17.25" thickBot="1" x14ac:dyDescent="0.35">
      <c r="B8" s="148"/>
      <c r="C8" s="150"/>
      <c r="D8" s="5"/>
      <c r="E8" s="4" t="s">
        <v>8</v>
      </c>
      <c r="F8" s="4" t="s">
        <v>9</v>
      </c>
      <c r="G8" s="4" t="s">
        <v>10</v>
      </c>
      <c r="H8" s="5"/>
      <c r="I8" s="4" t="s">
        <v>11</v>
      </c>
      <c r="J8" s="4" t="s">
        <v>12</v>
      </c>
      <c r="K8" s="4" t="s">
        <v>10</v>
      </c>
      <c r="L8" s="5"/>
      <c r="M8" s="4" t="s">
        <v>11</v>
      </c>
      <c r="N8" s="4" t="s">
        <v>12</v>
      </c>
      <c r="O8" s="4" t="s">
        <v>10</v>
      </c>
    </row>
    <row r="9" spans="1:19" s="1" customFormat="1" ht="20.25" customHeight="1" x14ac:dyDescent="0.3">
      <c r="B9" s="92" t="s">
        <v>13</v>
      </c>
      <c r="C9" s="93">
        <v>173894.77970476099</v>
      </c>
      <c r="D9" s="93"/>
      <c r="E9" s="93">
        <v>27441.229999999996</v>
      </c>
      <c r="F9" s="93">
        <v>22692.661999999993</v>
      </c>
      <c r="G9" s="93">
        <v>4748.5679999999993</v>
      </c>
      <c r="H9" s="93"/>
      <c r="I9" s="93">
        <v>27729.754522527637</v>
      </c>
      <c r="J9" s="93">
        <v>5858.0639936128291</v>
      </c>
      <c r="K9" s="93">
        <v>21871.690528914798</v>
      </c>
      <c r="L9" s="93"/>
      <c r="M9" s="93">
        <v>118723.79518223334</v>
      </c>
      <c r="N9" s="93">
        <v>3340.184750440435</v>
      </c>
      <c r="O9" s="93">
        <v>115383.61043179294</v>
      </c>
      <c r="P9" s="68"/>
      <c r="Q9" s="68"/>
      <c r="R9" s="68"/>
      <c r="S9" s="68"/>
    </row>
    <row r="10" spans="1:19" s="68" customFormat="1" ht="13.5" customHeight="1" x14ac:dyDescent="0.25">
      <c r="A10" s="79"/>
      <c r="B10" s="11" t="s">
        <v>14</v>
      </c>
      <c r="C10" s="65">
        <v>3610.4201947549982</v>
      </c>
      <c r="D10" s="65"/>
      <c r="E10" s="65">
        <v>1155.7149999999997</v>
      </c>
      <c r="F10" s="65">
        <v>849.4219999999998</v>
      </c>
      <c r="G10" s="65">
        <v>306.29300000000001</v>
      </c>
      <c r="H10" s="65"/>
      <c r="I10" s="65">
        <v>586.06371916920989</v>
      </c>
      <c r="J10" s="33">
        <v>93.885577987662998</v>
      </c>
      <c r="K10" s="33">
        <v>492.17814118154695</v>
      </c>
      <c r="L10" s="35"/>
      <c r="M10" s="33">
        <v>1868.6414755857886</v>
      </c>
      <c r="N10" s="33">
        <v>0</v>
      </c>
      <c r="O10" s="33">
        <v>1868.6414755857886</v>
      </c>
    </row>
    <row r="11" spans="1:19" s="68" customFormat="1" ht="13.5" customHeight="1" x14ac:dyDescent="0.25">
      <c r="A11" s="79"/>
      <c r="B11" s="7" t="s">
        <v>15</v>
      </c>
      <c r="C11" s="65">
        <v>10735.243437557081</v>
      </c>
      <c r="D11" s="65"/>
      <c r="E11" s="65">
        <v>1884.9260000000004</v>
      </c>
      <c r="F11" s="65">
        <v>1436.0330000000004</v>
      </c>
      <c r="G11" s="65">
        <v>448.89300000000009</v>
      </c>
      <c r="H11" s="65"/>
      <c r="I11" s="65">
        <v>1222.7209956203264</v>
      </c>
      <c r="J11" s="33">
        <v>526.661998130283</v>
      </c>
      <c r="K11" s="33">
        <v>696.05899749004357</v>
      </c>
      <c r="L11" s="35"/>
      <c r="M11" s="33">
        <v>7627.5964419367547</v>
      </c>
      <c r="N11" s="33">
        <v>126.32300478713695</v>
      </c>
      <c r="O11" s="33">
        <v>7501.2734371496181</v>
      </c>
    </row>
    <row r="12" spans="1:19" s="68" customFormat="1" ht="13.5" customHeight="1" x14ac:dyDescent="0.25">
      <c r="A12" s="79"/>
      <c r="B12" s="7" t="s">
        <v>16</v>
      </c>
      <c r="C12" s="65">
        <v>8179.5759611800713</v>
      </c>
      <c r="D12" s="65"/>
      <c r="E12" s="65">
        <v>1280.6600000000003</v>
      </c>
      <c r="F12" s="65">
        <v>1045.8470000000002</v>
      </c>
      <c r="G12" s="65">
        <v>234.81299999999999</v>
      </c>
      <c r="H12" s="65"/>
      <c r="I12" s="65">
        <v>1298.8229996604259</v>
      </c>
      <c r="J12" s="33">
        <v>249.35400041163072</v>
      </c>
      <c r="K12" s="33">
        <v>1049.4689992487952</v>
      </c>
      <c r="L12" s="35"/>
      <c r="M12" s="33">
        <v>5600.0929615196446</v>
      </c>
      <c r="N12" s="33">
        <v>11.299753275747999</v>
      </c>
      <c r="O12" s="33">
        <v>5588.7932082438965</v>
      </c>
    </row>
    <row r="13" spans="1:19" s="68" customFormat="1" ht="13.5" customHeight="1" x14ac:dyDescent="0.25">
      <c r="A13" s="79"/>
      <c r="B13" s="7" t="s">
        <v>17</v>
      </c>
      <c r="C13" s="65">
        <v>10290.896668686783</v>
      </c>
      <c r="D13" s="65"/>
      <c r="E13" s="65">
        <v>1494.0819999999983</v>
      </c>
      <c r="F13" s="65">
        <v>1219.5319999999983</v>
      </c>
      <c r="G13" s="65">
        <v>274.54999999999995</v>
      </c>
      <c r="H13" s="65"/>
      <c r="I13" s="65">
        <v>1737.0008400031834</v>
      </c>
      <c r="J13" s="33">
        <v>1014.1745411145432</v>
      </c>
      <c r="K13" s="33">
        <v>722.82629888864017</v>
      </c>
      <c r="L13" s="35"/>
      <c r="M13" s="33">
        <v>7059.8138286836001</v>
      </c>
      <c r="N13" s="33">
        <v>617.42341527041322</v>
      </c>
      <c r="O13" s="33">
        <v>6442.3904134131872</v>
      </c>
    </row>
    <row r="14" spans="1:19" s="68" customFormat="1" ht="13.5" customHeight="1" x14ac:dyDescent="0.25">
      <c r="A14" s="79"/>
      <c r="B14" s="7" t="s">
        <v>18</v>
      </c>
      <c r="C14" s="65">
        <v>12496.732628985919</v>
      </c>
      <c r="D14" s="65"/>
      <c r="E14" s="65">
        <v>1803.1219999999994</v>
      </c>
      <c r="F14" s="65">
        <v>1729.3629999999994</v>
      </c>
      <c r="G14" s="65">
        <v>73.759000000000015</v>
      </c>
      <c r="H14" s="65"/>
      <c r="I14" s="65">
        <v>1779.7577593888464</v>
      </c>
      <c r="J14" s="33">
        <v>305.48485300033099</v>
      </c>
      <c r="K14" s="33">
        <v>1474.2729063885154</v>
      </c>
      <c r="L14" s="35"/>
      <c r="M14" s="33">
        <v>8913.8528695970726</v>
      </c>
      <c r="N14" s="33">
        <v>171.57499047263735</v>
      </c>
      <c r="O14" s="33">
        <v>8742.2778791244345</v>
      </c>
    </row>
    <row r="15" spans="1:19" s="68" customFormat="1" ht="13.5" customHeight="1" x14ac:dyDescent="0.25">
      <c r="A15" s="79"/>
      <c r="B15" s="7" t="s">
        <v>19</v>
      </c>
      <c r="C15" s="65">
        <v>15654.592305075073</v>
      </c>
      <c r="D15" s="65"/>
      <c r="E15" s="65">
        <v>1745.2789999999998</v>
      </c>
      <c r="F15" s="65">
        <v>1529.6929999999998</v>
      </c>
      <c r="G15" s="65">
        <v>215.58600000000004</v>
      </c>
      <c r="H15" s="65"/>
      <c r="I15" s="65">
        <v>939.02144425835365</v>
      </c>
      <c r="J15" s="33">
        <v>40.294999879125498</v>
      </c>
      <c r="K15" s="33">
        <v>898.72644437922816</v>
      </c>
      <c r="L15" s="35"/>
      <c r="M15" s="33">
        <v>12970.29186081672</v>
      </c>
      <c r="N15" s="33">
        <v>79.417335499124476</v>
      </c>
      <c r="O15" s="33">
        <v>12890.874525317595</v>
      </c>
    </row>
    <row r="16" spans="1:19" s="68" customFormat="1" ht="13.5" customHeight="1" x14ac:dyDescent="0.25">
      <c r="A16" s="67"/>
      <c r="B16" s="7" t="s">
        <v>20</v>
      </c>
      <c r="C16" s="65">
        <v>51.446000085591997</v>
      </c>
      <c r="D16" s="65"/>
      <c r="E16" s="65">
        <v>44.546999999999997</v>
      </c>
      <c r="F16" s="65">
        <v>44.546999999999997</v>
      </c>
      <c r="G16" s="65">
        <v>0</v>
      </c>
      <c r="H16" s="65"/>
      <c r="I16" s="65">
        <v>6.8990000855920002</v>
      </c>
      <c r="J16" s="33">
        <v>5.1510000598420005</v>
      </c>
      <c r="K16" s="33">
        <v>1.7480000257499999</v>
      </c>
      <c r="L16" s="35"/>
      <c r="M16" s="33">
        <v>0</v>
      </c>
      <c r="N16" s="33">
        <v>0</v>
      </c>
      <c r="O16" s="33">
        <v>0</v>
      </c>
    </row>
    <row r="17" spans="1:15" s="68" customFormat="1" ht="13.5" customHeight="1" x14ac:dyDescent="0.25">
      <c r="A17" s="79"/>
      <c r="B17" s="7" t="s">
        <v>21</v>
      </c>
      <c r="C17" s="65">
        <v>17441.849130170922</v>
      </c>
      <c r="D17" s="65"/>
      <c r="E17" s="65">
        <v>2019.856</v>
      </c>
      <c r="F17" s="65">
        <v>1658.1320000000001</v>
      </c>
      <c r="G17" s="65">
        <v>361.72399999999999</v>
      </c>
      <c r="H17" s="65"/>
      <c r="I17" s="65">
        <v>2746.7739401864014</v>
      </c>
      <c r="J17" s="33">
        <v>584.29899898284066</v>
      </c>
      <c r="K17" s="33">
        <v>2162.4749412035608</v>
      </c>
      <c r="L17" s="35"/>
      <c r="M17" s="33">
        <v>12675.21918998452</v>
      </c>
      <c r="N17" s="33">
        <v>328.23300189930069</v>
      </c>
      <c r="O17" s="33">
        <v>12346.986188085219</v>
      </c>
    </row>
    <row r="18" spans="1:15" s="68" customFormat="1" ht="13.5" customHeight="1" x14ac:dyDescent="0.25">
      <c r="A18" s="79"/>
      <c r="B18" s="7" t="s">
        <v>22</v>
      </c>
      <c r="C18" s="65">
        <v>8300.3951755833223</v>
      </c>
      <c r="D18" s="65"/>
      <c r="E18" s="65">
        <v>1444.393</v>
      </c>
      <c r="F18" s="65">
        <v>1190.902</v>
      </c>
      <c r="G18" s="65">
        <v>253.49100000000001</v>
      </c>
      <c r="H18" s="65"/>
      <c r="I18" s="65">
        <v>2001.8799980361973</v>
      </c>
      <c r="J18" s="33">
        <v>17.312999684453999</v>
      </c>
      <c r="K18" s="33">
        <v>1984.5669983517432</v>
      </c>
      <c r="L18" s="35"/>
      <c r="M18" s="33">
        <v>4854.1221775471258</v>
      </c>
      <c r="N18" s="33">
        <v>0.66000002622599996</v>
      </c>
      <c r="O18" s="33">
        <v>4853.4621775208998</v>
      </c>
    </row>
    <row r="19" spans="1:15" s="68" customFormat="1" ht="13.5" customHeight="1" x14ac:dyDescent="0.25">
      <c r="A19" s="79"/>
      <c r="B19" s="7" t="s">
        <v>23</v>
      </c>
      <c r="C19" s="65">
        <v>7905.8650358029463</v>
      </c>
      <c r="D19" s="65"/>
      <c r="E19" s="65">
        <v>1281.6270000000002</v>
      </c>
      <c r="F19" s="65">
        <v>929.5870000000001</v>
      </c>
      <c r="G19" s="65">
        <v>352.04</v>
      </c>
      <c r="H19" s="65"/>
      <c r="I19" s="65">
        <v>792.22049779404881</v>
      </c>
      <c r="J19" s="33">
        <v>6.602999918159</v>
      </c>
      <c r="K19" s="33">
        <v>785.61749787588985</v>
      </c>
      <c r="L19" s="35"/>
      <c r="M19" s="33">
        <v>5832.0175380088967</v>
      </c>
      <c r="N19" s="33">
        <v>146.9476870703752</v>
      </c>
      <c r="O19" s="33">
        <v>5685.069850938522</v>
      </c>
    </row>
    <row r="20" spans="1:15" s="68" customFormat="1" ht="13.5" customHeight="1" x14ac:dyDescent="0.25">
      <c r="A20" s="79"/>
      <c r="B20" s="7" t="s">
        <v>24</v>
      </c>
      <c r="C20" s="65">
        <v>3713.6038891699427</v>
      </c>
      <c r="D20" s="65"/>
      <c r="E20" s="65">
        <v>698.13300000000004</v>
      </c>
      <c r="F20" s="65">
        <v>696.03899999999999</v>
      </c>
      <c r="G20" s="65">
        <v>2.0939999999999999</v>
      </c>
      <c r="H20" s="65"/>
      <c r="I20" s="65">
        <v>747.02499604546188</v>
      </c>
      <c r="J20" s="33">
        <v>64.22599929617401</v>
      </c>
      <c r="K20" s="33">
        <v>682.79899674928788</v>
      </c>
      <c r="L20" s="35"/>
      <c r="M20" s="33">
        <v>2268.4458931244808</v>
      </c>
      <c r="N20" s="33">
        <v>216.10958550057867</v>
      </c>
      <c r="O20" s="33">
        <v>2052.336307623902</v>
      </c>
    </row>
    <row r="21" spans="1:15" s="68" customFormat="1" ht="13.5" customHeight="1" x14ac:dyDescent="0.25">
      <c r="A21" s="79"/>
      <c r="B21" s="7" t="s">
        <v>25</v>
      </c>
      <c r="C21" s="65">
        <v>12034.94851290836</v>
      </c>
      <c r="D21" s="65"/>
      <c r="E21" s="65">
        <v>1789.6379999999999</v>
      </c>
      <c r="F21" s="65">
        <v>1074.4550000000002</v>
      </c>
      <c r="G21" s="65">
        <v>715.18299999999988</v>
      </c>
      <c r="H21" s="65"/>
      <c r="I21" s="65">
        <v>1115.2311909296234</v>
      </c>
      <c r="J21" s="33">
        <v>75.714000236234824</v>
      </c>
      <c r="K21" s="33">
        <v>1039.5171906933886</v>
      </c>
      <c r="L21" s="35"/>
      <c r="M21" s="33">
        <v>9130.0793219787374</v>
      </c>
      <c r="N21" s="33">
        <v>339.64593483089453</v>
      </c>
      <c r="O21" s="33">
        <v>8790.433387147843</v>
      </c>
    </row>
    <row r="22" spans="1:15" s="68" customFormat="1" ht="13.5" customHeight="1" x14ac:dyDescent="0.25">
      <c r="A22" s="79"/>
      <c r="B22" s="7" t="s">
        <v>26</v>
      </c>
      <c r="C22" s="65">
        <v>8879.3255522883319</v>
      </c>
      <c r="D22" s="65"/>
      <c r="E22" s="65">
        <v>1335.3849999999998</v>
      </c>
      <c r="F22" s="65">
        <v>949.88699999999972</v>
      </c>
      <c r="G22" s="65">
        <v>385.49800000000005</v>
      </c>
      <c r="H22" s="65"/>
      <c r="I22" s="65">
        <v>1935.6561681167932</v>
      </c>
      <c r="J22" s="33">
        <v>106.804000421056</v>
      </c>
      <c r="K22" s="33">
        <v>1828.8521676957373</v>
      </c>
      <c r="L22" s="35"/>
      <c r="M22" s="33">
        <v>5608.2843841715385</v>
      </c>
      <c r="N22" s="33">
        <v>161.90000087024896</v>
      </c>
      <c r="O22" s="33">
        <v>5446.3843833012897</v>
      </c>
    </row>
    <row r="23" spans="1:15" s="68" customFormat="1" ht="13.5" customHeight="1" x14ac:dyDescent="0.25">
      <c r="A23" s="79"/>
      <c r="B23" s="7" t="s">
        <v>27</v>
      </c>
      <c r="C23" s="65">
        <v>3260.0628332744095</v>
      </c>
      <c r="D23" s="65"/>
      <c r="E23" s="65">
        <v>516.00300000000004</v>
      </c>
      <c r="F23" s="65">
        <v>450.56400000000008</v>
      </c>
      <c r="G23" s="65">
        <v>65.438999999999993</v>
      </c>
      <c r="H23" s="65"/>
      <c r="I23" s="65">
        <v>689.72895025192247</v>
      </c>
      <c r="J23" s="33">
        <v>210.04235132772618</v>
      </c>
      <c r="K23" s="33">
        <v>479.68659892419623</v>
      </c>
      <c r="L23" s="35"/>
      <c r="M23" s="33">
        <v>2054.3308830224869</v>
      </c>
      <c r="N23" s="33">
        <v>27.550000309939996</v>
      </c>
      <c r="O23" s="33">
        <v>2026.7808827125471</v>
      </c>
    </row>
    <row r="24" spans="1:15" s="68" customFormat="1" ht="13.5" customHeight="1" x14ac:dyDescent="0.25">
      <c r="A24" s="79"/>
      <c r="B24" s="7" t="s">
        <v>28</v>
      </c>
      <c r="C24" s="65">
        <v>7605.8537161491395</v>
      </c>
      <c r="D24" s="65"/>
      <c r="E24" s="65">
        <v>1683.6170000000002</v>
      </c>
      <c r="F24" s="65">
        <v>1373.5620000000001</v>
      </c>
      <c r="G24" s="65">
        <v>310.05500000000001</v>
      </c>
      <c r="H24" s="65"/>
      <c r="I24" s="65">
        <v>1598.9292599177413</v>
      </c>
      <c r="J24" s="33">
        <v>191.85700253858414</v>
      </c>
      <c r="K24" s="33">
        <v>1407.0722573791572</v>
      </c>
      <c r="L24" s="35"/>
      <c r="M24" s="33">
        <v>4323.3074562313977</v>
      </c>
      <c r="N24" s="33">
        <v>160.04828530229096</v>
      </c>
      <c r="O24" s="33">
        <v>4163.2591709291064</v>
      </c>
    </row>
    <row r="25" spans="1:15" s="68" customFormat="1" ht="13.5" customHeight="1" x14ac:dyDescent="0.25">
      <c r="A25" s="79"/>
      <c r="B25" s="7" t="s">
        <v>29</v>
      </c>
      <c r="C25" s="65">
        <v>903.94800029597809</v>
      </c>
      <c r="D25" s="65"/>
      <c r="E25" s="65">
        <v>128.87099999999998</v>
      </c>
      <c r="F25" s="65">
        <v>88.611999999999995</v>
      </c>
      <c r="G25" s="65">
        <v>40.259</v>
      </c>
      <c r="H25" s="65"/>
      <c r="I25" s="65">
        <v>320.74699780133903</v>
      </c>
      <c r="J25" s="33">
        <v>97.167001096749999</v>
      </c>
      <c r="K25" s="33">
        <v>223.57999670458904</v>
      </c>
      <c r="L25" s="35"/>
      <c r="M25" s="33">
        <v>454.33000249463907</v>
      </c>
      <c r="N25" s="33">
        <v>60.6300006039801</v>
      </c>
      <c r="O25" s="33">
        <v>393.700001890659</v>
      </c>
    </row>
    <row r="26" spans="1:15" s="68" customFormat="1" ht="13.5" customHeight="1" x14ac:dyDescent="0.25">
      <c r="A26" s="79"/>
      <c r="B26" s="7" t="s">
        <v>30</v>
      </c>
      <c r="C26" s="65">
        <v>2017.8619986285728</v>
      </c>
      <c r="D26" s="65"/>
      <c r="E26" s="65">
        <v>400.35300000000001</v>
      </c>
      <c r="F26" s="65">
        <v>400.35300000000001</v>
      </c>
      <c r="G26" s="65">
        <v>0</v>
      </c>
      <c r="H26" s="65"/>
      <c r="I26" s="65">
        <v>339.92999874735801</v>
      </c>
      <c r="J26" s="33">
        <v>1.8650000691419999</v>
      </c>
      <c r="K26" s="33">
        <v>338.064998678216</v>
      </c>
      <c r="L26" s="35"/>
      <c r="M26" s="33">
        <v>1277.5789998812147</v>
      </c>
      <c r="N26" s="33">
        <v>6.4050000607950004</v>
      </c>
      <c r="O26" s="33">
        <v>1271.1739998204198</v>
      </c>
    </row>
    <row r="27" spans="1:15" s="68" customFormat="1" ht="13.5" customHeight="1" x14ac:dyDescent="0.25">
      <c r="A27" s="79"/>
      <c r="B27" s="7" t="s">
        <v>31</v>
      </c>
      <c r="C27" s="65">
        <v>2914.7081156918321</v>
      </c>
      <c r="D27" s="65"/>
      <c r="E27" s="65">
        <v>470.28500000000008</v>
      </c>
      <c r="F27" s="65">
        <v>470.28500000000008</v>
      </c>
      <c r="G27" s="65">
        <v>0</v>
      </c>
      <c r="H27" s="65"/>
      <c r="I27" s="65">
        <v>904.18700109230872</v>
      </c>
      <c r="J27" s="33">
        <v>239.09300138264121</v>
      </c>
      <c r="K27" s="33">
        <v>665.09399970966751</v>
      </c>
      <c r="L27" s="35"/>
      <c r="M27" s="33">
        <v>1540.2361145995233</v>
      </c>
      <c r="N27" s="33">
        <v>152.95425816812178</v>
      </c>
      <c r="O27" s="33">
        <v>1387.2818564314016</v>
      </c>
    </row>
    <row r="28" spans="1:15" s="68" customFormat="1" ht="13.5" customHeight="1" x14ac:dyDescent="0.25">
      <c r="A28" s="79"/>
      <c r="B28" s="7" t="s">
        <v>32</v>
      </c>
      <c r="C28" s="65">
        <v>3564.5304547479627</v>
      </c>
      <c r="D28" s="65"/>
      <c r="E28" s="65">
        <v>563.346</v>
      </c>
      <c r="F28" s="65">
        <v>373.76099999999997</v>
      </c>
      <c r="G28" s="65">
        <v>189.58500000000001</v>
      </c>
      <c r="H28" s="65"/>
      <c r="I28" s="65">
        <v>910.59678048620503</v>
      </c>
      <c r="J28" s="33">
        <v>34.195149732789304</v>
      </c>
      <c r="K28" s="33">
        <v>876.4016307534157</v>
      </c>
      <c r="L28" s="35"/>
      <c r="M28" s="33">
        <v>2090.5876742617579</v>
      </c>
      <c r="N28" s="33">
        <v>13.273904947669999</v>
      </c>
      <c r="O28" s="33">
        <v>2077.3137693140879</v>
      </c>
    </row>
    <row r="29" spans="1:15" s="68" customFormat="1" ht="13.5" customHeight="1" x14ac:dyDescent="0.25">
      <c r="A29" s="79"/>
      <c r="B29" s="7" t="s">
        <v>34</v>
      </c>
      <c r="C29" s="65">
        <v>8960.8771111738715</v>
      </c>
      <c r="D29" s="65"/>
      <c r="E29" s="65">
        <v>1774.6689999999996</v>
      </c>
      <c r="F29" s="65">
        <v>1669.2189999999996</v>
      </c>
      <c r="G29" s="65">
        <v>105.44999999999999</v>
      </c>
      <c r="H29" s="65"/>
      <c r="I29" s="65">
        <v>638.19100226812532</v>
      </c>
      <c r="J29" s="33">
        <v>170.0409998837703</v>
      </c>
      <c r="K29" s="33">
        <v>468.15000238435505</v>
      </c>
      <c r="L29" s="35"/>
      <c r="M29" s="33">
        <v>6548.0171089057467</v>
      </c>
      <c r="N29" s="33">
        <v>355.45900108754967</v>
      </c>
      <c r="O29" s="33">
        <v>6192.5581078181967</v>
      </c>
    </row>
    <row r="30" spans="1:15" s="68" customFormat="1" ht="13.5" customHeight="1" x14ac:dyDescent="0.25">
      <c r="A30" s="79"/>
      <c r="B30" s="7" t="s">
        <v>35</v>
      </c>
      <c r="C30" s="65">
        <v>13613.435520740179</v>
      </c>
      <c r="D30" s="65"/>
      <c r="E30" s="65">
        <v>2018.8929999999996</v>
      </c>
      <c r="F30" s="65">
        <v>1804.3299999999997</v>
      </c>
      <c r="G30" s="65">
        <v>214.56299999999999</v>
      </c>
      <c r="H30" s="65"/>
      <c r="I30" s="65">
        <v>2356.7894060728604</v>
      </c>
      <c r="J30" s="33">
        <v>1368.9095166712732</v>
      </c>
      <c r="K30" s="33">
        <v>987.87988940158698</v>
      </c>
      <c r="L30" s="35"/>
      <c r="M30" s="33">
        <v>9237.7531146673191</v>
      </c>
      <c r="N30" s="33">
        <v>86.301467887170602</v>
      </c>
      <c r="O30" s="33">
        <v>9151.4516467801477</v>
      </c>
    </row>
    <row r="31" spans="1:15" s="68" customFormat="1" ht="13.5" customHeight="1" x14ac:dyDescent="0.25">
      <c r="A31" s="79"/>
      <c r="B31" s="7" t="s">
        <v>36</v>
      </c>
      <c r="C31" s="65">
        <v>5565.757653774599</v>
      </c>
      <c r="D31" s="65"/>
      <c r="E31" s="65">
        <v>815.44199999999989</v>
      </c>
      <c r="F31" s="65">
        <v>770.9559999999999</v>
      </c>
      <c r="G31" s="65">
        <v>44.486000000000004</v>
      </c>
      <c r="H31" s="65"/>
      <c r="I31" s="65">
        <v>965.30600151706187</v>
      </c>
      <c r="J31" s="33">
        <v>192.67199969656994</v>
      </c>
      <c r="K31" s="33">
        <v>772.6340018204919</v>
      </c>
      <c r="L31" s="35"/>
      <c r="M31" s="39">
        <v>3785.0096522575368</v>
      </c>
      <c r="N31" s="33">
        <v>2.4811180281008003</v>
      </c>
      <c r="O31" s="33">
        <v>3782.528534229436</v>
      </c>
    </row>
    <row r="32" spans="1:15" s="68" customFormat="1" ht="13.5" customHeight="1" x14ac:dyDescent="0.25">
      <c r="A32" s="79"/>
      <c r="B32" s="7" t="s">
        <v>37</v>
      </c>
      <c r="C32" s="65">
        <v>2656.3089396206651</v>
      </c>
      <c r="D32" s="65"/>
      <c r="E32" s="65">
        <v>631.05299999999988</v>
      </c>
      <c r="F32" s="65">
        <v>580.05899999999986</v>
      </c>
      <c r="G32" s="65">
        <v>50.993999999999993</v>
      </c>
      <c r="H32" s="65"/>
      <c r="I32" s="65">
        <v>493.094703230589</v>
      </c>
      <c r="J32" s="33">
        <v>157.68000078202999</v>
      </c>
      <c r="K32" s="33">
        <v>335.41470244855901</v>
      </c>
      <c r="L32" s="35"/>
      <c r="M32" s="39">
        <v>1532.1612363900763</v>
      </c>
      <c r="N32" s="33">
        <v>234.6070047088707</v>
      </c>
      <c r="O32" s="33">
        <v>1297.5542316812057</v>
      </c>
    </row>
    <row r="33" spans="1:19" s="68" customFormat="1" ht="13.5" customHeight="1" x14ac:dyDescent="0.25">
      <c r="A33" s="79"/>
      <c r="B33" s="7" t="s">
        <v>38</v>
      </c>
      <c r="C33" s="65">
        <v>1002.7835621845281</v>
      </c>
      <c r="D33" s="65"/>
      <c r="E33" s="65">
        <v>138.47399999999999</v>
      </c>
      <c r="F33" s="65">
        <v>138.47399999999999</v>
      </c>
      <c r="G33" s="65">
        <v>0</v>
      </c>
      <c r="H33" s="65"/>
      <c r="I33" s="65">
        <v>287.47656413299603</v>
      </c>
      <c r="J33" s="33">
        <v>99.030001305404994</v>
      </c>
      <c r="K33" s="33">
        <v>188.44656282759101</v>
      </c>
      <c r="L33" s="35"/>
      <c r="M33" s="39">
        <v>576.83299805153217</v>
      </c>
      <c r="N33" s="33">
        <v>38.619999795710001</v>
      </c>
      <c r="O33" s="33">
        <v>538.21299825582219</v>
      </c>
    </row>
    <row r="34" spans="1:19" s="68" customFormat="1" ht="13.5" customHeight="1" thickBot="1" x14ac:dyDescent="0.3">
      <c r="A34" s="79"/>
      <c r="B34" s="13" t="s">
        <v>39</v>
      </c>
      <c r="C34" s="42">
        <v>2533.7573062299216</v>
      </c>
      <c r="D34" s="42"/>
      <c r="E34" s="42">
        <v>322.86099999999999</v>
      </c>
      <c r="F34" s="42">
        <v>219.04799999999997</v>
      </c>
      <c r="G34" s="42">
        <v>103.813</v>
      </c>
      <c r="H34" s="42"/>
      <c r="I34" s="42">
        <v>1315.7043077146598</v>
      </c>
      <c r="J34" s="42">
        <v>5.5460000038099997</v>
      </c>
      <c r="K34" s="42">
        <v>1310.1583077108498</v>
      </c>
      <c r="L34" s="42"/>
      <c r="M34" s="42">
        <v>895.19199851526184</v>
      </c>
      <c r="N34" s="42">
        <v>2.3200000375520005</v>
      </c>
      <c r="O34" s="42">
        <v>892.87199847770989</v>
      </c>
    </row>
    <row r="35" spans="1:19" s="1" customFormat="1" ht="3" customHeight="1" x14ac:dyDescent="0.3">
      <c r="B35" s="89"/>
      <c r="C35" s="15"/>
      <c r="D35" s="15"/>
      <c r="E35" s="15"/>
      <c r="F35" s="15"/>
      <c r="G35" s="15"/>
      <c r="H35" s="15"/>
      <c r="I35" s="15"/>
      <c r="J35" s="15"/>
      <c r="K35" s="15"/>
      <c r="L35" s="15"/>
      <c r="M35" s="15"/>
      <c r="N35" s="15"/>
      <c r="O35" s="94"/>
      <c r="P35" s="85"/>
      <c r="Q35" s="85"/>
      <c r="R35" s="85"/>
      <c r="S35" s="85"/>
    </row>
    <row r="36" spans="1:19" s="85" customFormat="1" ht="45" customHeight="1" x14ac:dyDescent="0.25">
      <c r="B36" s="152" t="s">
        <v>131</v>
      </c>
      <c r="C36" s="152"/>
      <c r="D36" s="152"/>
      <c r="E36" s="152"/>
      <c r="F36" s="152"/>
      <c r="G36" s="152"/>
      <c r="H36" s="152"/>
      <c r="I36" s="152"/>
      <c r="J36" s="152"/>
      <c r="K36" s="152"/>
      <c r="L36" s="152"/>
      <c r="M36" s="152"/>
      <c r="N36" s="152"/>
      <c r="O36" s="152"/>
    </row>
    <row r="37" spans="1:19" s="85" customFormat="1" ht="15.75" customHeight="1" x14ac:dyDescent="0.25">
      <c r="B37" s="153" t="s">
        <v>113</v>
      </c>
      <c r="C37" s="153"/>
      <c r="D37" s="153"/>
      <c r="E37" s="153"/>
      <c r="F37" s="153"/>
      <c r="G37" s="153"/>
      <c r="H37" s="153"/>
      <c r="I37" s="153"/>
      <c r="J37" s="153"/>
      <c r="K37" s="153"/>
      <c r="L37" s="153"/>
      <c r="M37" s="153"/>
      <c r="N37" s="153"/>
      <c r="O37" s="153"/>
    </row>
    <row r="38" spans="1:19" s="85" customFormat="1" ht="16.5" customHeight="1" x14ac:dyDescent="0.25">
      <c r="B38" s="71" t="s">
        <v>114</v>
      </c>
    </row>
    <row r="39" spans="1:19" s="85" customFormat="1" x14ac:dyDescent="0.25">
      <c r="B39" s="71" t="s">
        <v>43</v>
      </c>
    </row>
    <row r="40" spans="1:19" s="1" customFormat="1" x14ac:dyDescent="0.3"/>
    <row r="41" spans="1:19" s="1" customFormat="1" x14ac:dyDescent="0.3"/>
    <row r="42" spans="1:19" s="82" customFormat="1" ht="33.950000000000003" customHeight="1" x14ac:dyDescent="0.25">
      <c r="B42" s="145" t="s">
        <v>0</v>
      </c>
      <c r="C42" s="145"/>
      <c r="D42" s="145"/>
      <c r="E42" s="145"/>
      <c r="F42" s="145"/>
      <c r="G42" s="145"/>
      <c r="H42" s="145"/>
      <c r="I42" s="145"/>
      <c r="J42" s="145"/>
      <c r="K42" s="145"/>
      <c r="L42" s="145"/>
      <c r="M42" s="145"/>
      <c r="N42" s="145"/>
      <c r="O42" s="145"/>
    </row>
    <row r="43" spans="1:19" s="1" customFormat="1" ht="16.5" customHeight="1" x14ac:dyDescent="0.3">
      <c r="B43" s="146" t="s">
        <v>132</v>
      </c>
      <c r="C43" s="146"/>
      <c r="D43" s="146"/>
      <c r="E43" s="146"/>
      <c r="F43" s="146"/>
      <c r="G43" s="146"/>
      <c r="H43" s="146"/>
      <c r="I43" s="146"/>
      <c r="J43" s="146"/>
      <c r="K43" s="146"/>
      <c r="L43" s="146"/>
      <c r="M43" s="146"/>
      <c r="N43" s="146"/>
      <c r="O43" s="146"/>
    </row>
    <row r="44" spans="1:19" s="1" customFormat="1" x14ac:dyDescent="0.3">
      <c r="O44" s="59"/>
    </row>
    <row r="45" spans="1:19" s="1" customFormat="1" ht="17.25" customHeight="1" thickBot="1" x14ac:dyDescent="0.35">
      <c r="B45" s="144" t="s">
        <v>2</v>
      </c>
      <c r="C45" s="144"/>
      <c r="D45" s="144"/>
      <c r="E45" s="144"/>
      <c r="F45" s="144"/>
      <c r="G45" s="144"/>
      <c r="H45" s="144"/>
      <c r="I45" s="144"/>
      <c r="J45" s="144"/>
      <c r="K45" s="144"/>
      <c r="L45" s="144"/>
      <c r="M45" s="144"/>
      <c r="N45" s="144"/>
      <c r="O45" s="144"/>
    </row>
    <row r="46" spans="1:19" s="1" customFormat="1" ht="21.75" customHeight="1" x14ac:dyDescent="0.3">
      <c r="B46" s="147" t="s">
        <v>3</v>
      </c>
      <c r="C46" s="149" t="s">
        <v>4</v>
      </c>
      <c r="D46" s="54"/>
      <c r="E46" s="151" t="s">
        <v>5</v>
      </c>
      <c r="F46" s="151"/>
      <c r="G46" s="151"/>
      <c r="H46" s="3"/>
      <c r="I46" s="147" t="s">
        <v>123</v>
      </c>
      <c r="J46" s="147"/>
      <c r="K46" s="147"/>
      <c r="L46" s="3"/>
      <c r="M46" s="147" t="s">
        <v>124</v>
      </c>
      <c r="N46" s="147"/>
      <c r="O46" s="147"/>
    </row>
    <row r="47" spans="1:19" s="1" customFormat="1" ht="17.25" thickBot="1" x14ac:dyDescent="0.35">
      <c r="B47" s="148"/>
      <c r="C47" s="150"/>
      <c r="D47" s="5"/>
      <c r="E47" s="4" t="s">
        <v>8</v>
      </c>
      <c r="F47" s="4" t="s">
        <v>9</v>
      </c>
      <c r="G47" s="4" t="s">
        <v>10</v>
      </c>
      <c r="H47" s="5"/>
      <c r="I47" s="4" t="s">
        <v>11</v>
      </c>
      <c r="J47" s="4" t="s">
        <v>12</v>
      </c>
      <c r="K47" s="4" t="s">
        <v>10</v>
      </c>
      <c r="L47" s="5"/>
      <c r="M47" s="4" t="s">
        <v>11</v>
      </c>
      <c r="N47" s="4" t="s">
        <v>12</v>
      </c>
      <c r="O47" s="4" t="s">
        <v>10</v>
      </c>
    </row>
    <row r="48" spans="1:19" s="1" customFormat="1" ht="20.25" customHeight="1" x14ac:dyDescent="0.3">
      <c r="B48" s="92" t="s">
        <v>13</v>
      </c>
      <c r="C48" s="93" t="e">
        <f>SUM(C49:C73)</f>
        <v>#REF!</v>
      </c>
      <c r="D48" s="93"/>
      <c r="E48" s="93" t="e">
        <f>SUM(E49:E73)</f>
        <v>#REF!</v>
      </c>
      <c r="F48" s="93" t="e">
        <f>SUM(F49:F73)</f>
        <v>#REF!</v>
      </c>
      <c r="G48" s="93" t="e">
        <f>SUM(G49:G73)</f>
        <v>#REF!</v>
      </c>
      <c r="H48" s="93"/>
      <c r="I48" s="93" t="e">
        <f>SUM(I49:I73)</f>
        <v>#REF!</v>
      </c>
      <c r="J48" s="93" t="e">
        <f>SUM(J49:J73)</f>
        <v>#REF!</v>
      </c>
      <c r="K48" s="93" t="e">
        <f>SUM(K49:K73)</f>
        <v>#REF!</v>
      </c>
      <c r="L48" s="93"/>
      <c r="M48" s="93" t="e">
        <f>SUM(M49:M73)</f>
        <v>#REF!</v>
      </c>
      <c r="N48" s="93" t="e">
        <f>SUM(N49:N73)</f>
        <v>#REF!</v>
      </c>
      <c r="O48" s="93" t="e">
        <f>SUM(O49:O73)</f>
        <v>#REF!</v>
      </c>
    </row>
    <row r="49" spans="1:15" s="68" customFormat="1" ht="13.5" customHeight="1" x14ac:dyDescent="0.25">
      <c r="A49" s="79"/>
      <c r="B49" s="11" t="s">
        <v>14</v>
      </c>
      <c r="C49" s="65" t="e">
        <f t="shared" ref="C49:C73" si="0">+E49+I49+M49</f>
        <v>#REF!</v>
      </c>
      <c r="D49" s="65"/>
      <c r="E49" s="65" t="e">
        <f t="shared" ref="E49:E73" si="1">SUM(F49:G49)</f>
        <v>#REF!</v>
      </c>
      <c r="F49" s="65" t="e">
        <f>+#REF!</f>
        <v>#REF!</v>
      </c>
      <c r="G49" s="65" t="e">
        <f>+#REF!</f>
        <v>#REF!</v>
      </c>
      <c r="H49" s="65"/>
      <c r="I49" s="65" t="e">
        <f t="shared" ref="I49:I73" si="2">SUM(J49:K49)</f>
        <v>#REF!</v>
      </c>
      <c r="J49" s="33" t="e">
        <f>+#REF!</f>
        <v>#REF!</v>
      </c>
      <c r="K49" s="33" t="e">
        <f>+#REF!</f>
        <v>#REF!</v>
      </c>
      <c r="L49" s="35"/>
      <c r="M49" s="33" t="e">
        <f t="shared" ref="M49:M73" si="3">SUM(N49:O49)</f>
        <v>#REF!</v>
      </c>
      <c r="N49" s="33" t="e">
        <f>+#REF!</f>
        <v>#REF!</v>
      </c>
      <c r="O49" s="33" t="e">
        <f>+#REF!</f>
        <v>#REF!</v>
      </c>
    </row>
    <row r="50" spans="1:15" s="68" customFormat="1" ht="13.5" customHeight="1" x14ac:dyDescent="0.25">
      <c r="A50" s="79"/>
      <c r="B50" s="7" t="s">
        <v>15</v>
      </c>
      <c r="C50" s="65" t="e">
        <f t="shared" si="0"/>
        <v>#REF!</v>
      </c>
      <c r="D50" s="65"/>
      <c r="E50" s="65" t="e">
        <f t="shared" si="1"/>
        <v>#REF!</v>
      </c>
      <c r="F50" s="65" t="e">
        <f>+#REF!</f>
        <v>#REF!</v>
      </c>
      <c r="G50" s="65" t="e">
        <f>+#REF!</f>
        <v>#REF!</v>
      </c>
      <c r="H50" s="65"/>
      <c r="I50" s="65" t="e">
        <f t="shared" si="2"/>
        <v>#REF!</v>
      </c>
      <c r="J50" s="33" t="e">
        <f>+#REF!</f>
        <v>#REF!</v>
      </c>
      <c r="K50" s="33" t="e">
        <f>+#REF!</f>
        <v>#REF!</v>
      </c>
      <c r="L50" s="35"/>
      <c r="M50" s="33" t="e">
        <f t="shared" si="3"/>
        <v>#REF!</v>
      </c>
      <c r="N50" s="33" t="e">
        <f>+#REF!</f>
        <v>#REF!</v>
      </c>
      <c r="O50" s="33" t="e">
        <f>+#REF!</f>
        <v>#REF!</v>
      </c>
    </row>
    <row r="51" spans="1:15" s="68" customFormat="1" ht="13.5" customHeight="1" x14ac:dyDescent="0.25">
      <c r="A51" s="79"/>
      <c r="B51" s="7" t="s">
        <v>16</v>
      </c>
      <c r="C51" s="65" t="e">
        <f t="shared" si="0"/>
        <v>#REF!</v>
      </c>
      <c r="D51" s="65"/>
      <c r="E51" s="65" t="e">
        <f t="shared" si="1"/>
        <v>#REF!</v>
      </c>
      <c r="F51" s="65" t="e">
        <f>+#REF!</f>
        <v>#REF!</v>
      </c>
      <c r="G51" s="65" t="e">
        <f>+#REF!</f>
        <v>#REF!</v>
      </c>
      <c r="H51" s="65"/>
      <c r="I51" s="65" t="e">
        <f t="shared" si="2"/>
        <v>#REF!</v>
      </c>
      <c r="J51" s="33" t="e">
        <f>+#REF!</f>
        <v>#REF!</v>
      </c>
      <c r="K51" s="33" t="e">
        <f>+#REF!</f>
        <v>#REF!</v>
      </c>
      <c r="L51" s="35"/>
      <c r="M51" s="33" t="e">
        <f>SUM(N51:O51)</f>
        <v>#REF!</v>
      </c>
      <c r="N51" s="33" t="e">
        <f>+#REF!</f>
        <v>#REF!</v>
      </c>
      <c r="O51" s="33" t="e">
        <f>+#REF!</f>
        <v>#REF!</v>
      </c>
    </row>
    <row r="52" spans="1:15" s="68" customFormat="1" ht="13.5" customHeight="1" x14ac:dyDescent="0.25">
      <c r="A52" s="79"/>
      <c r="B52" s="7" t="s">
        <v>17</v>
      </c>
      <c r="C52" s="65" t="e">
        <f>+E52+I52+M52</f>
        <v>#REF!</v>
      </c>
      <c r="D52" s="65"/>
      <c r="E52" s="65" t="e">
        <f>SUM(F52:G52)</f>
        <v>#REF!</v>
      </c>
      <c r="F52" s="65" t="e">
        <f>+#REF!</f>
        <v>#REF!</v>
      </c>
      <c r="G52" s="65" t="e">
        <f>+#REF!</f>
        <v>#REF!</v>
      </c>
      <c r="H52" s="65"/>
      <c r="I52" s="65" t="e">
        <f>SUM(J52:K52)</f>
        <v>#REF!</v>
      </c>
      <c r="J52" s="33" t="e">
        <f>+#REF!</f>
        <v>#REF!</v>
      </c>
      <c r="K52" s="33" t="e">
        <f>+#REF!</f>
        <v>#REF!</v>
      </c>
      <c r="L52" s="35"/>
      <c r="M52" s="33" t="e">
        <f t="shared" si="3"/>
        <v>#REF!</v>
      </c>
      <c r="N52" s="33" t="e">
        <f>+#REF!</f>
        <v>#REF!</v>
      </c>
      <c r="O52" s="33" t="e">
        <f>+#REF!</f>
        <v>#REF!</v>
      </c>
    </row>
    <row r="53" spans="1:15" s="68" customFormat="1" ht="13.5" customHeight="1" x14ac:dyDescent="0.25">
      <c r="A53" s="79"/>
      <c r="B53" s="7" t="s">
        <v>18</v>
      </c>
      <c r="C53" s="65" t="e">
        <f t="shared" si="0"/>
        <v>#REF!</v>
      </c>
      <c r="D53" s="65"/>
      <c r="E53" s="65" t="e">
        <f t="shared" si="1"/>
        <v>#REF!</v>
      </c>
      <c r="F53" s="65" t="e">
        <f>+#REF!</f>
        <v>#REF!</v>
      </c>
      <c r="G53" s="65" t="e">
        <f>+#REF!</f>
        <v>#REF!</v>
      </c>
      <c r="H53" s="65"/>
      <c r="I53" s="65" t="e">
        <f t="shared" si="2"/>
        <v>#REF!</v>
      </c>
      <c r="J53" s="33" t="e">
        <f>+#REF!</f>
        <v>#REF!</v>
      </c>
      <c r="K53" s="33" t="e">
        <f>+#REF!</f>
        <v>#REF!</v>
      </c>
      <c r="L53" s="35"/>
      <c r="M53" s="33" t="e">
        <f t="shared" si="3"/>
        <v>#REF!</v>
      </c>
      <c r="N53" s="33" t="e">
        <f>+#REF!</f>
        <v>#REF!</v>
      </c>
      <c r="O53" s="33" t="e">
        <f>+#REF!</f>
        <v>#REF!</v>
      </c>
    </row>
    <row r="54" spans="1:15" s="68" customFormat="1" ht="13.5" customHeight="1" x14ac:dyDescent="0.25">
      <c r="A54" s="79"/>
      <c r="B54" s="99" t="s">
        <v>19</v>
      </c>
      <c r="C54" s="65" t="e">
        <f t="shared" si="0"/>
        <v>#REF!</v>
      </c>
      <c r="D54" s="65"/>
      <c r="E54" s="65" t="e">
        <f t="shared" si="1"/>
        <v>#REF!</v>
      </c>
      <c r="F54" s="65" t="e">
        <f>+#REF!</f>
        <v>#REF!</v>
      </c>
      <c r="G54" s="65" t="e">
        <f>+#REF!</f>
        <v>#REF!</v>
      </c>
      <c r="H54" s="65"/>
      <c r="I54" s="65" t="e">
        <f t="shared" si="2"/>
        <v>#REF!</v>
      </c>
      <c r="J54" s="33" t="e">
        <f>+#REF!</f>
        <v>#REF!</v>
      </c>
      <c r="K54" s="33" t="e">
        <f>+#REF!</f>
        <v>#REF!</v>
      </c>
      <c r="L54" s="65"/>
      <c r="M54" s="33" t="e">
        <f t="shared" si="3"/>
        <v>#REF!</v>
      </c>
      <c r="N54" s="33" t="e">
        <f>+#REF!</f>
        <v>#REF!</v>
      </c>
      <c r="O54" s="33" t="e">
        <f>+#REF!</f>
        <v>#REF!</v>
      </c>
    </row>
    <row r="55" spans="1:15" s="68" customFormat="1" ht="13.5" customHeight="1" x14ac:dyDescent="0.25">
      <c r="A55" s="67"/>
      <c r="B55" s="99" t="s">
        <v>20</v>
      </c>
      <c r="C55" s="65" t="e">
        <f t="shared" si="0"/>
        <v>#REF!</v>
      </c>
      <c r="D55" s="65"/>
      <c r="E55" s="65" t="e">
        <f t="shared" si="1"/>
        <v>#REF!</v>
      </c>
      <c r="F55" s="65" t="e">
        <f>+#REF!</f>
        <v>#REF!</v>
      </c>
      <c r="G55" s="65" t="e">
        <f>+#REF!</f>
        <v>#REF!</v>
      </c>
      <c r="H55" s="65"/>
      <c r="I55" s="65" t="e">
        <f t="shared" si="2"/>
        <v>#REF!</v>
      </c>
      <c r="J55" s="33" t="e">
        <f>+#REF!</f>
        <v>#REF!</v>
      </c>
      <c r="K55" s="33" t="e">
        <f>+#REF!</f>
        <v>#REF!</v>
      </c>
      <c r="L55" s="65"/>
      <c r="M55" s="33" t="e">
        <f t="shared" si="3"/>
        <v>#REF!</v>
      </c>
      <c r="N55" s="33" t="e">
        <f>+#REF!</f>
        <v>#REF!</v>
      </c>
      <c r="O55" s="33" t="e">
        <f>+#REF!</f>
        <v>#REF!</v>
      </c>
    </row>
    <row r="56" spans="1:15" s="68" customFormat="1" ht="13.5" customHeight="1" x14ac:dyDescent="0.25">
      <c r="A56" s="79"/>
      <c r="B56" s="99" t="s">
        <v>21</v>
      </c>
      <c r="C56" s="65" t="e">
        <f t="shared" si="0"/>
        <v>#REF!</v>
      </c>
      <c r="D56" s="65"/>
      <c r="E56" s="65" t="e">
        <f t="shared" si="1"/>
        <v>#REF!</v>
      </c>
      <c r="F56" s="65" t="e">
        <f>+#REF!</f>
        <v>#REF!</v>
      </c>
      <c r="G56" s="65" t="e">
        <f>+#REF!</f>
        <v>#REF!</v>
      </c>
      <c r="H56" s="65"/>
      <c r="I56" s="65" t="e">
        <f t="shared" si="2"/>
        <v>#REF!</v>
      </c>
      <c r="J56" s="33" t="e">
        <f>+#REF!</f>
        <v>#REF!</v>
      </c>
      <c r="K56" s="33" t="e">
        <f>+#REF!</f>
        <v>#REF!</v>
      </c>
      <c r="L56" s="65"/>
      <c r="M56" s="33" t="e">
        <f t="shared" si="3"/>
        <v>#REF!</v>
      </c>
      <c r="N56" s="33" t="e">
        <f>+#REF!</f>
        <v>#REF!</v>
      </c>
      <c r="O56" s="33" t="e">
        <f>+#REF!</f>
        <v>#REF!</v>
      </c>
    </row>
    <row r="57" spans="1:15" s="68" customFormat="1" ht="13.5" customHeight="1" x14ac:dyDescent="0.25">
      <c r="A57" s="79"/>
      <c r="B57" s="99" t="s">
        <v>22</v>
      </c>
      <c r="C57" s="65" t="e">
        <f t="shared" si="0"/>
        <v>#REF!</v>
      </c>
      <c r="D57" s="65"/>
      <c r="E57" s="65" t="e">
        <f t="shared" si="1"/>
        <v>#REF!</v>
      </c>
      <c r="F57" s="65" t="e">
        <f>+#REF!</f>
        <v>#REF!</v>
      </c>
      <c r="G57" s="65" t="e">
        <f>+#REF!</f>
        <v>#REF!</v>
      </c>
      <c r="H57" s="65"/>
      <c r="I57" s="65" t="e">
        <f t="shared" si="2"/>
        <v>#REF!</v>
      </c>
      <c r="J57" s="33" t="e">
        <f>+#REF!</f>
        <v>#REF!</v>
      </c>
      <c r="K57" s="33" t="e">
        <f>+#REF!</f>
        <v>#REF!</v>
      </c>
      <c r="L57" s="65"/>
      <c r="M57" s="33" t="e">
        <f t="shared" si="3"/>
        <v>#REF!</v>
      </c>
      <c r="N57" s="33" t="e">
        <f>+#REF!</f>
        <v>#REF!</v>
      </c>
      <c r="O57" s="33" t="e">
        <f>+#REF!</f>
        <v>#REF!</v>
      </c>
    </row>
    <row r="58" spans="1:15" s="68" customFormat="1" ht="13.5" customHeight="1" x14ac:dyDescent="0.25">
      <c r="A58" s="79"/>
      <c r="B58" s="99" t="s">
        <v>23</v>
      </c>
      <c r="C58" s="65" t="e">
        <f t="shared" si="0"/>
        <v>#REF!</v>
      </c>
      <c r="D58" s="65"/>
      <c r="E58" s="65" t="e">
        <f t="shared" si="1"/>
        <v>#REF!</v>
      </c>
      <c r="F58" s="65" t="e">
        <f>+#REF!</f>
        <v>#REF!</v>
      </c>
      <c r="G58" s="65" t="e">
        <f>+#REF!</f>
        <v>#REF!</v>
      </c>
      <c r="H58" s="65"/>
      <c r="I58" s="65" t="e">
        <f t="shared" si="2"/>
        <v>#REF!</v>
      </c>
      <c r="J58" s="33" t="e">
        <f>+#REF!</f>
        <v>#REF!</v>
      </c>
      <c r="K58" s="33" t="e">
        <f>+#REF!</f>
        <v>#REF!</v>
      </c>
      <c r="L58" s="65"/>
      <c r="M58" s="33" t="e">
        <f t="shared" si="3"/>
        <v>#REF!</v>
      </c>
      <c r="N58" s="33" t="e">
        <f>+#REF!</f>
        <v>#REF!</v>
      </c>
      <c r="O58" s="33" t="e">
        <f>+#REF!</f>
        <v>#REF!</v>
      </c>
    </row>
    <row r="59" spans="1:15" s="68" customFormat="1" ht="13.5" customHeight="1" x14ac:dyDescent="0.25">
      <c r="A59" s="79"/>
      <c r="B59" s="99" t="s">
        <v>24</v>
      </c>
      <c r="C59" s="65" t="e">
        <f t="shared" si="0"/>
        <v>#REF!</v>
      </c>
      <c r="D59" s="65"/>
      <c r="E59" s="65" t="e">
        <f t="shared" si="1"/>
        <v>#REF!</v>
      </c>
      <c r="F59" s="65" t="e">
        <f>+#REF!</f>
        <v>#REF!</v>
      </c>
      <c r="G59" s="65" t="e">
        <f>+#REF!</f>
        <v>#REF!</v>
      </c>
      <c r="H59" s="65"/>
      <c r="I59" s="65" t="e">
        <f t="shared" si="2"/>
        <v>#REF!</v>
      </c>
      <c r="J59" s="33" t="e">
        <f>+#REF!</f>
        <v>#REF!</v>
      </c>
      <c r="K59" s="33" t="e">
        <f>+#REF!</f>
        <v>#REF!</v>
      </c>
      <c r="L59" s="65"/>
      <c r="M59" s="33" t="e">
        <f t="shared" si="3"/>
        <v>#REF!</v>
      </c>
      <c r="N59" s="33" t="e">
        <f>+#REF!</f>
        <v>#REF!</v>
      </c>
      <c r="O59" s="33" t="e">
        <f>+#REF!</f>
        <v>#REF!</v>
      </c>
    </row>
    <row r="60" spans="1:15" s="68" customFormat="1" ht="13.5" customHeight="1" x14ac:dyDescent="0.25">
      <c r="A60" s="79"/>
      <c r="B60" s="99" t="s">
        <v>25</v>
      </c>
      <c r="C60" s="65" t="e">
        <f t="shared" si="0"/>
        <v>#REF!</v>
      </c>
      <c r="D60" s="65"/>
      <c r="E60" s="65" t="e">
        <f t="shared" si="1"/>
        <v>#REF!</v>
      </c>
      <c r="F60" s="65" t="e">
        <f>+#REF!</f>
        <v>#REF!</v>
      </c>
      <c r="G60" s="65" t="e">
        <f>+#REF!</f>
        <v>#REF!</v>
      </c>
      <c r="H60" s="65"/>
      <c r="I60" s="65" t="e">
        <f t="shared" si="2"/>
        <v>#REF!</v>
      </c>
      <c r="J60" s="33" t="e">
        <f>+#REF!</f>
        <v>#REF!</v>
      </c>
      <c r="K60" s="33" t="e">
        <f>+#REF!</f>
        <v>#REF!</v>
      </c>
      <c r="L60" s="65"/>
      <c r="M60" s="33" t="e">
        <f t="shared" si="3"/>
        <v>#REF!</v>
      </c>
      <c r="N60" s="33" t="e">
        <f>+#REF!</f>
        <v>#REF!</v>
      </c>
      <c r="O60" s="33" t="e">
        <f>+#REF!</f>
        <v>#REF!</v>
      </c>
    </row>
    <row r="61" spans="1:15" s="68" customFormat="1" ht="13.5" customHeight="1" x14ac:dyDescent="0.25">
      <c r="A61" s="79"/>
      <c r="B61" s="99" t="s">
        <v>26</v>
      </c>
      <c r="C61" s="65" t="e">
        <f t="shared" si="0"/>
        <v>#REF!</v>
      </c>
      <c r="D61" s="65"/>
      <c r="E61" s="65" t="e">
        <f t="shared" si="1"/>
        <v>#REF!</v>
      </c>
      <c r="F61" s="65" t="e">
        <f>+#REF!</f>
        <v>#REF!</v>
      </c>
      <c r="G61" s="65" t="e">
        <f>+#REF!</f>
        <v>#REF!</v>
      </c>
      <c r="H61" s="65"/>
      <c r="I61" s="65" t="e">
        <f t="shared" si="2"/>
        <v>#REF!</v>
      </c>
      <c r="J61" s="33" t="e">
        <f>+#REF!</f>
        <v>#REF!</v>
      </c>
      <c r="K61" s="33" t="e">
        <f>+#REF!</f>
        <v>#REF!</v>
      </c>
      <c r="L61" s="65"/>
      <c r="M61" s="33" t="e">
        <f t="shared" si="3"/>
        <v>#REF!</v>
      </c>
      <c r="N61" s="33" t="e">
        <f>+#REF!</f>
        <v>#REF!</v>
      </c>
      <c r="O61" s="33" t="e">
        <f>+#REF!</f>
        <v>#REF!</v>
      </c>
    </row>
    <row r="62" spans="1:15" s="68" customFormat="1" ht="13.5" customHeight="1" x14ac:dyDescent="0.25">
      <c r="A62" s="79"/>
      <c r="B62" s="99" t="s">
        <v>27</v>
      </c>
      <c r="C62" s="65" t="e">
        <f t="shared" si="0"/>
        <v>#REF!</v>
      </c>
      <c r="D62" s="65"/>
      <c r="E62" s="65" t="e">
        <f t="shared" si="1"/>
        <v>#REF!</v>
      </c>
      <c r="F62" s="65" t="e">
        <f>+#REF!</f>
        <v>#REF!</v>
      </c>
      <c r="G62" s="65" t="e">
        <f>+#REF!</f>
        <v>#REF!</v>
      </c>
      <c r="H62" s="65"/>
      <c r="I62" s="65" t="e">
        <f t="shared" si="2"/>
        <v>#REF!</v>
      </c>
      <c r="J62" s="33" t="e">
        <f>+#REF!</f>
        <v>#REF!</v>
      </c>
      <c r="K62" s="33" t="e">
        <f>+#REF!</f>
        <v>#REF!</v>
      </c>
      <c r="L62" s="65"/>
      <c r="M62" s="33" t="e">
        <f t="shared" si="3"/>
        <v>#REF!</v>
      </c>
      <c r="N62" s="33" t="e">
        <f>+#REF!</f>
        <v>#REF!</v>
      </c>
      <c r="O62" s="33" t="e">
        <f>+#REF!</f>
        <v>#REF!</v>
      </c>
    </row>
    <row r="63" spans="1:15" s="68" customFormat="1" ht="13.5" customHeight="1" x14ac:dyDescent="0.25">
      <c r="A63" s="79"/>
      <c r="B63" s="99" t="s">
        <v>28</v>
      </c>
      <c r="C63" s="65" t="e">
        <f t="shared" si="0"/>
        <v>#REF!</v>
      </c>
      <c r="D63" s="65"/>
      <c r="E63" s="65" t="e">
        <f t="shared" si="1"/>
        <v>#REF!</v>
      </c>
      <c r="F63" s="65" t="e">
        <f>+#REF!</f>
        <v>#REF!</v>
      </c>
      <c r="G63" s="65" t="e">
        <f>+#REF!</f>
        <v>#REF!</v>
      </c>
      <c r="H63" s="65"/>
      <c r="I63" s="65" t="e">
        <f t="shared" si="2"/>
        <v>#REF!</v>
      </c>
      <c r="J63" s="33" t="e">
        <f>+#REF!</f>
        <v>#REF!</v>
      </c>
      <c r="K63" s="33" t="e">
        <f>+#REF!</f>
        <v>#REF!</v>
      </c>
      <c r="L63" s="65"/>
      <c r="M63" s="33" t="e">
        <f t="shared" si="3"/>
        <v>#REF!</v>
      </c>
      <c r="N63" s="33" t="e">
        <f>+#REF!</f>
        <v>#REF!</v>
      </c>
      <c r="O63" s="33" t="e">
        <f>+#REF!</f>
        <v>#REF!</v>
      </c>
    </row>
    <row r="64" spans="1:15" s="68" customFormat="1" ht="13.5" customHeight="1" x14ac:dyDescent="0.25">
      <c r="A64" s="79"/>
      <c r="B64" s="99" t="s">
        <v>29</v>
      </c>
      <c r="C64" s="65" t="e">
        <f t="shared" si="0"/>
        <v>#REF!</v>
      </c>
      <c r="D64" s="65"/>
      <c r="E64" s="65" t="e">
        <f t="shared" si="1"/>
        <v>#REF!</v>
      </c>
      <c r="F64" s="65" t="e">
        <f>+#REF!</f>
        <v>#REF!</v>
      </c>
      <c r="G64" s="65" t="e">
        <f>+#REF!</f>
        <v>#REF!</v>
      </c>
      <c r="H64" s="65"/>
      <c r="I64" s="65" t="e">
        <f t="shared" si="2"/>
        <v>#REF!</v>
      </c>
      <c r="J64" s="33" t="e">
        <f>+#REF!</f>
        <v>#REF!</v>
      </c>
      <c r="K64" s="33" t="e">
        <f>+#REF!</f>
        <v>#REF!</v>
      </c>
      <c r="L64" s="65"/>
      <c r="M64" s="33" t="e">
        <f t="shared" si="3"/>
        <v>#REF!</v>
      </c>
      <c r="N64" s="33" t="e">
        <f>+#REF!</f>
        <v>#REF!</v>
      </c>
      <c r="O64" s="33" t="e">
        <f>+#REF!</f>
        <v>#REF!</v>
      </c>
    </row>
    <row r="65" spans="1:15" s="68" customFormat="1" ht="13.5" customHeight="1" x14ac:dyDescent="0.25">
      <c r="A65" s="79"/>
      <c r="B65" s="99" t="s">
        <v>30</v>
      </c>
      <c r="C65" s="65" t="e">
        <f t="shared" si="0"/>
        <v>#REF!</v>
      </c>
      <c r="D65" s="65"/>
      <c r="E65" s="65" t="e">
        <f t="shared" si="1"/>
        <v>#REF!</v>
      </c>
      <c r="F65" s="65" t="e">
        <f>+#REF!</f>
        <v>#REF!</v>
      </c>
      <c r="G65" s="65" t="e">
        <f>+#REF!</f>
        <v>#REF!</v>
      </c>
      <c r="H65" s="65"/>
      <c r="I65" s="65" t="e">
        <f t="shared" si="2"/>
        <v>#REF!</v>
      </c>
      <c r="J65" s="33" t="e">
        <f>+#REF!</f>
        <v>#REF!</v>
      </c>
      <c r="K65" s="33" t="e">
        <f>+#REF!</f>
        <v>#REF!</v>
      </c>
      <c r="L65" s="65"/>
      <c r="M65" s="33" t="e">
        <f t="shared" si="3"/>
        <v>#REF!</v>
      </c>
      <c r="N65" s="33" t="e">
        <f>+#REF!</f>
        <v>#REF!</v>
      </c>
      <c r="O65" s="33" t="e">
        <f>+#REF!</f>
        <v>#REF!</v>
      </c>
    </row>
    <row r="66" spans="1:15" s="68" customFormat="1" ht="13.5" customHeight="1" x14ac:dyDescent="0.25">
      <c r="A66" s="79"/>
      <c r="B66" s="99" t="s">
        <v>31</v>
      </c>
      <c r="C66" s="65" t="e">
        <f t="shared" si="0"/>
        <v>#REF!</v>
      </c>
      <c r="D66" s="65"/>
      <c r="E66" s="65" t="e">
        <f t="shared" si="1"/>
        <v>#REF!</v>
      </c>
      <c r="F66" s="65" t="e">
        <f>+#REF!</f>
        <v>#REF!</v>
      </c>
      <c r="G66" s="65" t="e">
        <f>+#REF!</f>
        <v>#REF!</v>
      </c>
      <c r="H66" s="65"/>
      <c r="I66" s="65" t="e">
        <f t="shared" si="2"/>
        <v>#REF!</v>
      </c>
      <c r="J66" s="33" t="e">
        <f>+#REF!</f>
        <v>#REF!</v>
      </c>
      <c r="K66" s="33" t="e">
        <f>+#REF!</f>
        <v>#REF!</v>
      </c>
      <c r="L66" s="65"/>
      <c r="M66" s="33" t="e">
        <f t="shared" si="3"/>
        <v>#REF!</v>
      </c>
      <c r="N66" s="33" t="e">
        <f>+#REF!</f>
        <v>#REF!</v>
      </c>
      <c r="O66" s="33" t="e">
        <f>+#REF!</f>
        <v>#REF!</v>
      </c>
    </row>
    <row r="67" spans="1:15" s="68" customFormat="1" ht="13.5" customHeight="1" x14ac:dyDescent="0.25">
      <c r="A67" s="79"/>
      <c r="B67" s="99" t="s">
        <v>32</v>
      </c>
      <c r="C67" s="65" t="e">
        <f t="shared" si="0"/>
        <v>#REF!</v>
      </c>
      <c r="D67" s="65"/>
      <c r="E67" s="65" t="e">
        <f t="shared" si="1"/>
        <v>#REF!</v>
      </c>
      <c r="F67" s="65" t="e">
        <f>+#REF!</f>
        <v>#REF!</v>
      </c>
      <c r="G67" s="65" t="e">
        <f>+#REF!</f>
        <v>#REF!</v>
      </c>
      <c r="H67" s="65"/>
      <c r="I67" s="65" t="e">
        <f t="shared" si="2"/>
        <v>#REF!</v>
      </c>
      <c r="J67" s="33" t="e">
        <f>+#REF!</f>
        <v>#REF!</v>
      </c>
      <c r="K67" s="33" t="e">
        <f>+#REF!</f>
        <v>#REF!</v>
      </c>
      <c r="L67" s="65"/>
      <c r="M67" s="33" t="e">
        <f t="shared" si="3"/>
        <v>#REF!</v>
      </c>
      <c r="N67" s="33" t="e">
        <f>+#REF!</f>
        <v>#REF!</v>
      </c>
      <c r="O67" s="33" t="e">
        <f>+#REF!</f>
        <v>#REF!</v>
      </c>
    </row>
    <row r="68" spans="1:15" s="68" customFormat="1" ht="13.5" customHeight="1" x14ac:dyDescent="0.25">
      <c r="A68" s="79"/>
      <c r="B68" s="99" t="s">
        <v>34</v>
      </c>
      <c r="C68" s="65" t="e">
        <f t="shared" si="0"/>
        <v>#REF!</v>
      </c>
      <c r="D68" s="65"/>
      <c r="E68" s="65" t="e">
        <f t="shared" si="1"/>
        <v>#REF!</v>
      </c>
      <c r="F68" s="65" t="e">
        <f>+#REF!</f>
        <v>#REF!</v>
      </c>
      <c r="G68" s="65" t="e">
        <f>+#REF!</f>
        <v>#REF!</v>
      </c>
      <c r="H68" s="65"/>
      <c r="I68" s="65" t="e">
        <f t="shared" si="2"/>
        <v>#REF!</v>
      </c>
      <c r="J68" s="33" t="e">
        <f>+#REF!</f>
        <v>#REF!</v>
      </c>
      <c r="K68" s="33" t="e">
        <f>+#REF!</f>
        <v>#REF!</v>
      </c>
      <c r="L68" s="65"/>
      <c r="M68" s="33" t="e">
        <f t="shared" si="3"/>
        <v>#REF!</v>
      </c>
      <c r="N68" s="33" t="e">
        <f>+#REF!</f>
        <v>#REF!</v>
      </c>
      <c r="O68" s="33" t="e">
        <f>+#REF!</f>
        <v>#REF!</v>
      </c>
    </row>
    <row r="69" spans="1:15" s="68" customFormat="1" ht="13.5" customHeight="1" x14ac:dyDescent="0.25">
      <c r="A69" s="79"/>
      <c r="B69" s="99" t="s">
        <v>35</v>
      </c>
      <c r="C69" s="65" t="e">
        <f t="shared" si="0"/>
        <v>#REF!</v>
      </c>
      <c r="D69" s="65"/>
      <c r="E69" s="65" t="e">
        <f t="shared" si="1"/>
        <v>#REF!</v>
      </c>
      <c r="F69" s="65" t="e">
        <f>+#REF!</f>
        <v>#REF!</v>
      </c>
      <c r="G69" s="65" t="e">
        <f>+#REF!</f>
        <v>#REF!</v>
      </c>
      <c r="H69" s="65"/>
      <c r="I69" s="65" t="e">
        <f t="shared" si="2"/>
        <v>#REF!</v>
      </c>
      <c r="J69" s="33" t="e">
        <f>+#REF!</f>
        <v>#REF!</v>
      </c>
      <c r="K69" s="33" t="e">
        <f>+#REF!</f>
        <v>#REF!</v>
      </c>
      <c r="L69" s="65"/>
      <c r="M69" s="33" t="e">
        <f t="shared" si="3"/>
        <v>#REF!</v>
      </c>
      <c r="N69" s="33" t="e">
        <f>+#REF!</f>
        <v>#REF!</v>
      </c>
      <c r="O69" s="33" t="e">
        <f>+#REF!</f>
        <v>#REF!</v>
      </c>
    </row>
    <row r="70" spans="1:15" s="68" customFormat="1" ht="13.5" customHeight="1" x14ac:dyDescent="0.25">
      <c r="A70" s="79"/>
      <c r="B70" s="99" t="s">
        <v>36</v>
      </c>
      <c r="C70" s="65" t="e">
        <f t="shared" si="0"/>
        <v>#REF!</v>
      </c>
      <c r="D70" s="65"/>
      <c r="E70" s="65" t="e">
        <f t="shared" si="1"/>
        <v>#REF!</v>
      </c>
      <c r="F70" s="65" t="e">
        <f>+#REF!</f>
        <v>#REF!</v>
      </c>
      <c r="G70" s="65" t="e">
        <f>+#REF!</f>
        <v>#REF!</v>
      </c>
      <c r="H70" s="65"/>
      <c r="I70" s="65" t="e">
        <f t="shared" si="2"/>
        <v>#REF!</v>
      </c>
      <c r="J70" s="33" t="e">
        <f>+#REF!</f>
        <v>#REF!</v>
      </c>
      <c r="K70" s="33" t="e">
        <f>+#REF!</f>
        <v>#REF!</v>
      </c>
      <c r="L70" s="65"/>
      <c r="M70" s="39" t="e">
        <f t="shared" si="3"/>
        <v>#REF!</v>
      </c>
      <c r="N70" s="33" t="e">
        <f>+#REF!</f>
        <v>#REF!</v>
      </c>
      <c r="O70" s="33" t="e">
        <f>+#REF!</f>
        <v>#REF!</v>
      </c>
    </row>
    <row r="71" spans="1:15" s="68" customFormat="1" ht="13.5" customHeight="1" x14ac:dyDescent="0.25">
      <c r="A71" s="79"/>
      <c r="B71" s="99" t="s">
        <v>37</v>
      </c>
      <c r="C71" s="65" t="e">
        <f t="shared" si="0"/>
        <v>#REF!</v>
      </c>
      <c r="D71" s="65"/>
      <c r="E71" s="65" t="e">
        <f t="shared" si="1"/>
        <v>#REF!</v>
      </c>
      <c r="F71" s="65" t="e">
        <f>+#REF!</f>
        <v>#REF!</v>
      </c>
      <c r="G71" s="65" t="e">
        <f>+#REF!</f>
        <v>#REF!</v>
      </c>
      <c r="H71" s="65"/>
      <c r="I71" s="65" t="e">
        <f t="shared" si="2"/>
        <v>#REF!</v>
      </c>
      <c r="J71" s="33" t="e">
        <f>+#REF!</f>
        <v>#REF!</v>
      </c>
      <c r="K71" s="33" t="e">
        <f>+#REF!</f>
        <v>#REF!</v>
      </c>
      <c r="L71" s="65"/>
      <c r="M71" s="39" t="e">
        <f t="shared" si="3"/>
        <v>#REF!</v>
      </c>
      <c r="N71" s="33" t="e">
        <f>+#REF!</f>
        <v>#REF!</v>
      </c>
      <c r="O71" s="33" t="e">
        <f>+#REF!</f>
        <v>#REF!</v>
      </c>
    </row>
    <row r="72" spans="1:15" s="68" customFormat="1" ht="13.5" customHeight="1" x14ac:dyDescent="0.25">
      <c r="A72" s="79"/>
      <c r="B72" s="7" t="s">
        <v>38</v>
      </c>
      <c r="C72" s="65" t="e">
        <f t="shared" si="0"/>
        <v>#REF!</v>
      </c>
      <c r="D72" s="65"/>
      <c r="E72" s="65" t="e">
        <f t="shared" si="1"/>
        <v>#REF!</v>
      </c>
      <c r="F72" s="65" t="e">
        <f>+#REF!</f>
        <v>#REF!</v>
      </c>
      <c r="G72" s="65" t="e">
        <f>+#REF!</f>
        <v>#REF!</v>
      </c>
      <c r="H72" s="65"/>
      <c r="I72" s="65" t="e">
        <f t="shared" si="2"/>
        <v>#REF!</v>
      </c>
      <c r="J72" s="33" t="e">
        <f>+#REF!</f>
        <v>#REF!</v>
      </c>
      <c r="K72" s="33" t="e">
        <f>+#REF!</f>
        <v>#REF!</v>
      </c>
      <c r="L72" s="35"/>
      <c r="M72" s="39" t="e">
        <f t="shared" si="3"/>
        <v>#REF!</v>
      </c>
      <c r="N72" s="33" t="e">
        <f>+#REF!</f>
        <v>#REF!</v>
      </c>
      <c r="O72" s="33" t="e">
        <f>+#REF!</f>
        <v>#REF!</v>
      </c>
    </row>
    <row r="73" spans="1:15" s="68" customFormat="1" ht="13.5" customHeight="1" thickBot="1" x14ac:dyDescent="0.3">
      <c r="A73" s="79"/>
      <c r="B73" s="13" t="s">
        <v>39</v>
      </c>
      <c r="C73" s="42" t="e">
        <f t="shared" si="0"/>
        <v>#REF!</v>
      </c>
      <c r="D73" s="42"/>
      <c r="E73" s="42" t="e">
        <f t="shared" si="1"/>
        <v>#REF!</v>
      </c>
      <c r="F73" s="42" t="e">
        <f>+#REF!</f>
        <v>#REF!</v>
      </c>
      <c r="G73" s="42" t="e">
        <f>+#REF!</f>
        <v>#REF!</v>
      </c>
      <c r="H73" s="42"/>
      <c r="I73" s="42" t="e">
        <f t="shared" si="2"/>
        <v>#REF!</v>
      </c>
      <c r="J73" s="42" t="e">
        <f>+#REF!</f>
        <v>#REF!</v>
      </c>
      <c r="K73" s="42" t="e">
        <f>+#REF!</f>
        <v>#REF!</v>
      </c>
      <c r="L73" s="42"/>
      <c r="M73" s="42" t="e">
        <f t="shared" si="3"/>
        <v>#REF!</v>
      </c>
      <c r="N73" s="42" t="e">
        <f>+#REF!</f>
        <v>#REF!</v>
      </c>
      <c r="O73" s="42" t="e">
        <f>+#REF!</f>
        <v>#REF!</v>
      </c>
    </row>
    <row r="74" spans="1:15" s="1" customFormat="1" ht="3" customHeight="1" x14ac:dyDescent="0.3">
      <c r="B74" s="89"/>
      <c r="C74" s="15"/>
      <c r="D74" s="15"/>
      <c r="E74" s="15"/>
      <c r="F74" s="15"/>
      <c r="G74" s="15"/>
      <c r="H74" s="15"/>
      <c r="I74" s="15"/>
      <c r="J74" s="15"/>
      <c r="K74" s="15"/>
      <c r="L74" s="15"/>
      <c r="M74" s="15"/>
      <c r="N74" s="15"/>
      <c r="O74" s="94"/>
    </row>
    <row r="75" spans="1:15" s="90" customFormat="1" ht="43.5" customHeight="1" x14ac:dyDescent="0.25">
      <c r="B75" s="152" t="s">
        <v>133</v>
      </c>
      <c r="C75" s="152"/>
      <c r="D75" s="152"/>
      <c r="E75" s="152"/>
      <c r="F75" s="152"/>
      <c r="G75" s="152"/>
      <c r="H75" s="152"/>
      <c r="I75" s="152"/>
      <c r="J75" s="152"/>
      <c r="K75" s="152"/>
      <c r="L75" s="152"/>
      <c r="M75" s="152"/>
      <c r="N75" s="152"/>
      <c r="O75" s="152"/>
    </row>
    <row r="76" spans="1:15" s="90" customFormat="1" ht="13.5" x14ac:dyDescent="0.25">
      <c r="B76" s="154" t="s">
        <v>134</v>
      </c>
      <c r="C76" s="154"/>
      <c r="D76" s="154"/>
      <c r="E76" s="154"/>
      <c r="F76" s="154"/>
      <c r="G76" s="154"/>
      <c r="H76" s="154"/>
      <c r="I76" s="154"/>
      <c r="J76" s="154"/>
      <c r="K76" s="154"/>
      <c r="L76" s="154"/>
      <c r="M76" s="154"/>
      <c r="N76" s="154"/>
      <c r="O76" s="154"/>
    </row>
    <row r="77" spans="1:15" s="90" customFormat="1" ht="16.5" customHeight="1" x14ac:dyDescent="0.25">
      <c r="B77" s="16" t="s">
        <v>135</v>
      </c>
    </row>
    <row r="78" spans="1:15" s="90" customFormat="1" ht="13.5" x14ac:dyDescent="0.25">
      <c r="B78" s="16"/>
    </row>
    <row r="79" spans="1:15" s="1" customFormat="1" x14ac:dyDescent="0.3"/>
    <row r="80" spans="1:15" s="1" customFormat="1" x14ac:dyDescent="0.3"/>
    <row r="81" spans="3:15" s="1" customFormat="1" x14ac:dyDescent="0.3"/>
    <row r="82" spans="3:15" s="1" customFormat="1" x14ac:dyDescent="0.3">
      <c r="C82" s="59"/>
      <c r="D82" s="59"/>
      <c r="E82" s="59"/>
      <c r="F82" s="59"/>
      <c r="G82" s="59"/>
      <c r="H82" s="59"/>
      <c r="I82" s="59"/>
      <c r="J82" s="59"/>
      <c r="K82" s="59"/>
      <c r="L82" s="59"/>
      <c r="M82" s="59"/>
      <c r="N82" s="59"/>
    </row>
    <row r="83" spans="3:15" s="1" customFormat="1" x14ac:dyDescent="0.3">
      <c r="C83" s="59"/>
      <c r="D83" s="59"/>
      <c r="E83" s="59"/>
      <c r="F83" s="59"/>
      <c r="G83" s="59"/>
      <c r="H83" s="59"/>
      <c r="I83" s="59"/>
      <c r="J83" s="59"/>
      <c r="K83" s="59"/>
      <c r="L83" s="59"/>
      <c r="M83" s="59"/>
      <c r="N83" s="59"/>
    </row>
    <row r="84" spans="3:15" s="1" customFormat="1" x14ac:dyDescent="0.3">
      <c r="C84" s="59"/>
      <c r="D84" s="59"/>
      <c r="E84" s="59"/>
      <c r="F84" s="59"/>
      <c r="G84" s="59"/>
      <c r="H84" s="59"/>
      <c r="I84" s="59"/>
      <c r="J84" s="59"/>
      <c r="K84" s="59"/>
      <c r="L84" s="59"/>
      <c r="M84" s="59"/>
      <c r="N84" s="59"/>
    </row>
    <row r="85" spans="3:15" s="1" customFormat="1" x14ac:dyDescent="0.3">
      <c r="C85" s="59"/>
      <c r="D85" s="59"/>
      <c r="E85" s="59"/>
      <c r="F85" s="59"/>
      <c r="G85" s="59"/>
      <c r="H85" s="59"/>
      <c r="I85" s="59"/>
      <c r="J85" s="59"/>
      <c r="K85" s="59"/>
      <c r="L85" s="59"/>
      <c r="M85" s="59"/>
      <c r="N85" s="59"/>
    </row>
    <row r="86" spans="3:15" s="1" customFormat="1" x14ac:dyDescent="0.3">
      <c r="C86" s="12"/>
      <c r="D86" s="12"/>
      <c r="E86" s="12"/>
      <c r="F86" s="12"/>
      <c r="G86" s="12"/>
      <c r="H86" s="12"/>
      <c r="I86" s="12"/>
      <c r="J86" s="12"/>
      <c r="K86" s="12"/>
      <c r="L86" s="12"/>
      <c r="M86" s="12"/>
      <c r="N86" s="12"/>
      <c r="O86" s="12"/>
    </row>
    <row r="87" spans="3:15" s="1" customFormat="1" x14ac:dyDescent="0.3">
      <c r="C87" s="12"/>
      <c r="D87" s="12"/>
      <c r="E87" s="12"/>
      <c r="F87" s="12"/>
      <c r="G87" s="12"/>
      <c r="H87" s="12"/>
      <c r="I87" s="12"/>
      <c r="J87" s="12"/>
      <c r="K87" s="12"/>
      <c r="L87" s="12"/>
      <c r="M87" s="12"/>
      <c r="N87" s="12"/>
      <c r="O87" s="12"/>
    </row>
    <row r="88" spans="3:15" s="1" customFormat="1" x14ac:dyDescent="0.3">
      <c r="C88" s="12"/>
      <c r="D88" s="12"/>
      <c r="E88" s="12"/>
      <c r="F88" s="12"/>
      <c r="G88" s="12"/>
      <c r="H88" s="12"/>
      <c r="I88" s="12"/>
      <c r="J88" s="12"/>
      <c r="K88" s="12"/>
      <c r="L88" s="12"/>
      <c r="M88" s="12"/>
      <c r="N88" s="12"/>
      <c r="O88" s="12"/>
    </row>
    <row r="89" spans="3:15" s="1" customFormat="1" x14ac:dyDescent="0.3">
      <c r="C89" s="12"/>
      <c r="D89" s="12"/>
      <c r="E89" s="12"/>
      <c r="F89" s="12"/>
      <c r="G89" s="12"/>
      <c r="H89" s="12"/>
      <c r="I89" s="12"/>
      <c r="J89" s="12"/>
      <c r="K89" s="12"/>
      <c r="L89" s="12"/>
      <c r="M89" s="12"/>
      <c r="N89" s="12"/>
      <c r="O89" s="12"/>
    </row>
    <row r="90" spans="3:15" s="1" customFormat="1" x14ac:dyDescent="0.3">
      <c r="C90" s="12"/>
      <c r="D90" s="12"/>
      <c r="E90" s="12"/>
      <c r="F90" s="12"/>
      <c r="G90" s="12"/>
      <c r="H90" s="12"/>
      <c r="I90" s="12"/>
      <c r="J90" s="12"/>
      <c r="K90" s="12"/>
      <c r="L90" s="12"/>
      <c r="M90" s="12"/>
      <c r="N90" s="12"/>
      <c r="O90" s="12"/>
    </row>
    <row r="91" spans="3:15" s="1" customFormat="1" x14ac:dyDescent="0.3">
      <c r="C91" s="12"/>
      <c r="D91" s="12"/>
      <c r="E91" s="12"/>
      <c r="F91" s="12"/>
      <c r="G91" s="12"/>
      <c r="H91" s="12"/>
      <c r="I91" s="12"/>
      <c r="J91" s="12"/>
      <c r="K91" s="12"/>
      <c r="L91" s="12"/>
      <c r="M91" s="12"/>
      <c r="N91" s="12"/>
      <c r="O91" s="12"/>
    </row>
    <row r="92" spans="3:15" s="1" customFormat="1" x14ac:dyDescent="0.3">
      <c r="C92" s="12"/>
      <c r="D92" s="12"/>
      <c r="E92" s="12"/>
      <c r="F92" s="12"/>
      <c r="G92" s="12"/>
      <c r="H92" s="12"/>
      <c r="I92" s="12"/>
      <c r="J92" s="12"/>
      <c r="K92" s="12"/>
      <c r="L92" s="12"/>
      <c r="M92" s="12"/>
      <c r="N92" s="12"/>
      <c r="O92" s="12"/>
    </row>
    <row r="93" spans="3:15" s="1" customFormat="1" x14ac:dyDescent="0.3">
      <c r="C93" s="12"/>
      <c r="D93" s="12"/>
      <c r="E93" s="12"/>
      <c r="F93" s="12"/>
      <c r="G93" s="12"/>
      <c r="H93" s="12"/>
      <c r="I93" s="12"/>
      <c r="J93" s="12"/>
      <c r="K93" s="12"/>
      <c r="L93" s="12"/>
      <c r="M93" s="12"/>
      <c r="N93" s="12"/>
      <c r="O93" s="12"/>
    </row>
    <row r="94" spans="3:15" s="1" customFormat="1" x14ac:dyDescent="0.3">
      <c r="C94" s="12"/>
      <c r="D94" s="12"/>
      <c r="E94" s="12"/>
      <c r="F94" s="12"/>
      <c r="G94" s="12"/>
      <c r="H94" s="12"/>
      <c r="I94" s="12"/>
      <c r="J94" s="12"/>
      <c r="K94" s="12"/>
      <c r="L94" s="12"/>
      <c r="M94" s="12"/>
      <c r="N94" s="12"/>
      <c r="O94" s="12"/>
    </row>
    <row r="95" spans="3:15" s="1" customFormat="1" x14ac:dyDescent="0.3">
      <c r="C95" s="12"/>
      <c r="D95" s="12"/>
      <c r="E95" s="12"/>
      <c r="F95" s="12"/>
      <c r="G95" s="12"/>
      <c r="H95" s="12"/>
      <c r="I95" s="12"/>
      <c r="J95" s="12"/>
      <c r="K95" s="12"/>
      <c r="L95" s="12"/>
      <c r="M95" s="12"/>
      <c r="N95" s="12"/>
      <c r="O95" s="12"/>
    </row>
    <row r="96" spans="3:15" s="1" customFormat="1" x14ac:dyDescent="0.3">
      <c r="C96" s="12"/>
      <c r="D96" s="12"/>
      <c r="E96" s="12"/>
      <c r="F96" s="12"/>
      <c r="G96" s="12"/>
      <c r="H96" s="12"/>
      <c r="I96" s="12"/>
      <c r="J96" s="12"/>
      <c r="K96" s="12"/>
      <c r="L96" s="12"/>
      <c r="M96" s="12"/>
      <c r="N96" s="12"/>
      <c r="O96" s="12"/>
    </row>
    <row r="97" spans="3:15" s="1" customFormat="1" x14ac:dyDescent="0.3">
      <c r="C97" s="12"/>
      <c r="D97" s="12"/>
      <c r="E97" s="12"/>
      <c r="F97" s="12"/>
      <c r="G97" s="12"/>
      <c r="H97" s="12"/>
      <c r="I97" s="12"/>
      <c r="J97" s="12"/>
      <c r="K97" s="12"/>
      <c r="L97" s="12"/>
      <c r="M97" s="12"/>
      <c r="N97" s="12"/>
      <c r="O97" s="12"/>
    </row>
    <row r="98" spans="3:15" s="1" customFormat="1" x14ac:dyDescent="0.3">
      <c r="C98" s="12"/>
      <c r="D98" s="12"/>
      <c r="E98" s="12"/>
      <c r="F98" s="12"/>
      <c r="G98" s="12"/>
      <c r="H98" s="12"/>
      <c r="I98" s="12"/>
      <c r="J98" s="12"/>
      <c r="K98" s="12"/>
      <c r="L98" s="12"/>
      <c r="M98" s="12"/>
      <c r="N98" s="12"/>
      <c r="O98" s="12"/>
    </row>
    <row r="99" spans="3:15" s="1" customFormat="1" x14ac:dyDescent="0.3">
      <c r="C99" s="12"/>
      <c r="D99" s="12"/>
      <c r="E99" s="12"/>
      <c r="F99" s="12"/>
      <c r="G99" s="12"/>
      <c r="H99" s="12"/>
      <c r="I99" s="12"/>
      <c r="J99" s="12"/>
      <c r="K99" s="12"/>
      <c r="L99" s="12"/>
      <c r="M99" s="12"/>
      <c r="N99" s="12"/>
      <c r="O99" s="12"/>
    </row>
    <row r="100" spans="3:15" s="1" customFormat="1" x14ac:dyDescent="0.3">
      <c r="C100" s="12"/>
      <c r="D100" s="12"/>
      <c r="E100" s="12"/>
      <c r="F100" s="12"/>
      <c r="G100" s="12"/>
      <c r="H100" s="12"/>
      <c r="I100" s="12"/>
      <c r="J100" s="12"/>
      <c r="K100" s="12"/>
      <c r="L100" s="12"/>
      <c r="M100" s="12"/>
      <c r="N100" s="12"/>
      <c r="O100" s="12"/>
    </row>
    <row r="101" spans="3:15" s="1" customFormat="1" x14ac:dyDescent="0.3">
      <c r="C101" s="12"/>
      <c r="D101" s="12"/>
      <c r="E101" s="12"/>
      <c r="F101" s="12"/>
      <c r="G101" s="12"/>
      <c r="H101" s="12"/>
      <c r="I101" s="12"/>
      <c r="J101" s="12"/>
      <c r="K101" s="12"/>
      <c r="L101" s="12"/>
      <c r="M101" s="12"/>
      <c r="N101" s="12"/>
      <c r="O101" s="12"/>
    </row>
    <row r="102" spans="3:15" s="1" customFormat="1" x14ac:dyDescent="0.3">
      <c r="C102" s="12"/>
      <c r="D102" s="12"/>
      <c r="E102" s="12"/>
      <c r="F102" s="12"/>
      <c r="G102" s="12"/>
      <c r="H102" s="12"/>
      <c r="I102" s="12"/>
      <c r="J102" s="12"/>
      <c r="K102" s="12"/>
      <c r="L102" s="12"/>
      <c r="M102" s="12"/>
      <c r="N102" s="12"/>
      <c r="O102" s="12"/>
    </row>
    <row r="103" spans="3:15" s="1" customFormat="1" x14ac:dyDescent="0.3">
      <c r="C103" s="12"/>
      <c r="D103" s="12"/>
      <c r="E103" s="12"/>
      <c r="F103" s="12"/>
      <c r="G103" s="12"/>
      <c r="H103" s="12"/>
      <c r="I103" s="12"/>
      <c r="J103" s="12"/>
      <c r="K103" s="12"/>
      <c r="L103" s="12"/>
      <c r="M103" s="12"/>
      <c r="N103" s="12"/>
      <c r="O103" s="12"/>
    </row>
    <row r="104" spans="3:15" s="1" customFormat="1" x14ac:dyDescent="0.3">
      <c r="C104" s="12"/>
      <c r="D104" s="12"/>
      <c r="E104" s="12"/>
      <c r="F104" s="12"/>
      <c r="G104" s="12"/>
      <c r="H104" s="12"/>
      <c r="I104" s="12"/>
      <c r="J104" s="12"/>
      <c r="K104" s="12"/>
      <c r="L104" s="12"/>
      <c r="M104" s="12"/>
      <c r="N104" s="12"/>
      <c r="O104" s="12"/>
    </row>
    <row r="105" spans="3:15" s="1" customFormat="1" x14ac:dyDescent="0.3">
      <c r="C105" s="12"/>
      <c r="D105" s="12"/>
      <c r="E105" s="12"/>
      <c r="F105" s="12"/>
      <c r="G105" s="12"/>
      <c r="H105" s="12"/>
      <c r="I105" s="12"/>
      <c r="J105" s="12"/>
      <c r="K105" s="12"/>
      <c r="L105" s="12"/>
      <c r="M105" s="12"/>
      <c r="N105" s="12"/>
      <c r="O105" s="12"/>
    </row>
    <row r="106" spans="3:15" s="1" customFormat="1" x14ac:dyDescent="0.3">
      <c r="C106" s="12"/>
      <c r="D106" s="12"/>
      <c r="E106" s="12"/>
      <c r="F106" s="12"/>
      <c r="G106" s="12"/>
      <c r="H106" s="12"/>
      <c r="I106" s="12"/>
      <c r="J106" s="12"/>
      <c r="K106" s="12"/>
      <c r="L106" s="12"/>
      <c r="M106" s="12"/>
      <c r="N106" s="12"/>
      <c r="O106" s="12"/>
    </row>
    <row r="107" spans="3:15" s="1" customFormat="1" x14ac:dyDescent="0.3">
      <c r="C107" s="12"/>
      <c r="D107" s="12"/>
      <c r="E107" s="12"/>
      <c r="F107" s="12"/>
      <c r="G107" s="12"/>
      <c r="H107" s="12"/>
      <c r="I107" s="12"/>
      <c r="J107" s="12"/>
      <c r="K107" s="12"/>
      <c r="L107" s="12"/>
      <c r="M107" s="12"/>
      <c r="N107" s="12"/>
      <c r="O107" s="12"/>
    </row>
    <row r="108" spans="3:15" s="1" customFormat="1" x14ac:dyDescent="0.3">
      <c r="C108" s="12"/>
      <c r="D108" s="12"/>
      <c r="E108" s="12"/>
      <c r="F108" s="12"/>
      <c r="G108" s="12"/>
      <c r="H108" s="12"/>
      <c r="I108" s="12"/>
      <c r="J108" s="12"/>
      <c r="K108" s="12"/>
      <c r="L108" s="12"/>
      <c r="M108" s="12"/>
      <c r="N108" s="12"/>
      <c r="O108" s="12"/>
    </row>
    <row r="109" spans="3:15" s="1" customFormat="1" x14ac:dyDescent="0.3">
      <c r="C109" s="12"/>
      <c r="D109" s="12"/>
      <c r="E109" s="12"/>
      <c r="F109" s="12"/>
      <c r="G109" s="12"/>
      <c r="H109" s="12"/>
      <c r="I109" s="12"/>
      <c r="J109" s="12"/>
      <c r="K109" s="12"/>
      <c r="L109" s="12"/>
      <c r="M109" s="12"/>
      <c r="N109" s="12"/>
      <c r="O109" s="12"/>
    </row>
    <row r="110" spans="3:15" s="1" customFormat="1" x14ac:dyDescent="0.3">
      <c r="C110" s="12"/>
      <c r="D110" s="12"/>
      <c r="E110" s="12"/>
      <c r="F110" s="12"/>
      <c r="G110" s="12"/>
      <c r="H110" s="12"/>
      <c r="I110" s="12"/>
      <c r="J110" s="12"/>
      <c r="K110" s="12"/>
      <c r="L110" s="12"/>
      <c r="M110" s="12"/>
      <c r="N110" s="12"/>
      <c r="O110" s="12"/>
    </row>
    <row r="111" spans="3:15" s="44" customFormat="1" ht="13.5" x14ac:dyDescent="0.25"/>
    <row r="112" spans="3:15" s="44" customFormat="1" ht="13.5" x14ac:dyDescent="0.25"/>
    <row r="113" s="44" customFormat="1" ht="13.5" x14ac:dyDescent="0.25"/>
    <row r="114" s="44" customFormat="1" ht="13.5" x14ac:dyDescent="0.25"/>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sheetData>
  <mergeCells count="20">
    <mergeCell ref="B75:O75"/>
    <mergeCell ref="B76:O76"/>
    <mergeCell ref="B46:B47"/>
    <mergeCell ref="C46:C47"/>
    <mergeCell ref="E46:G46"/>
    <mergeCell ref="I46:K46"/>
    <mergeCell ref="M46:O46"/>
    <mergeCell ref="B45:O45"/>
    <mergeCell ref="B43:O43"/>
    <mergeCell ref="B36:O36"/>
    <mergeCell ref="B37:O37"/>
    <mergeCell ref="B42:O42"/>
    <mergeCell ref="B6:O6"/>
    <mergeCell ref="B3:O3"/>
    <mergeCell ref="B4:O4"/>
    <mergeCell ref="B7:B8"/>
    <mergeCell ref="C7:C8"/>
    <mergeCell ref="E7:G7"/>
    <mergeCell ref="I7:K7"/>
    <mergeCell ref="M7:O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39"/>
  <sheetViews>
    <sheetView zoomScale="70" zoomScaleNormal="70" workbookViewId="0">
      <selection activeCell="U33" sqref="U33"/>
    </sheetView>
  </sheetViews>
  <sheetFormatPr baseColWidth="10" defaultColWidth="11.42578125" defaultRowHeight="16.5" x14ac:dyDescent="0.3"/>
  <cols>
    <col min="1" max="1" width="11.42578125" style="1"/>
    <col min="2" max="2" width="18.5703125" style="1" customWidth="1"/>
    <col min="3" max="4" width="11.42578125" style="1"/>
    <col min="5" max="5" width="13.28515625" style="1" customWidth="1"/>
    <col min="6" max="6" width="14.42578125" style="1" customWidth="1"/>
    <col min="7" max="7" width="4.5703125" style="1" customWidth="1"/>
    <col min="8" max="8" width="11.42578125" style="1"/>
    <col min="9" max="9" width="13" style="1" bestFit="1" customWidth="1"/>
    <col min="10" max="10" width="18.85546875" style="1" bestFit="1" customWidth="1"/>
    <col min="11" max="11" width="6.5703125" style="1" customWidth="1"/>
    <col min="12" max="12" width="11.42578125" style="1"/>
    <col min="13" max="13" width="13" style="1" bestFit="1" customWidth="1"/>
    <col min="14" max="14" width="16.5703125" style="1" customWidth="1"/>
    <col min="15" max="16384" width="11.42578125" style="1"/>
  </cols>
  <sheetData>
    <row r="2" spans="2:14" x14ac:dyDescent="0.3">
      <c r="B2" s="156"/>
      <c r="C2" s="156"/>
      <c r="D2" s="156"/>
      <c r="E2" s="156"/>
      <c r="F2" s="156"/>
      <c r="G2" s="156"/>
      <c r="H2" s="156"/>
      <c r="I2" s="156"/>
      <c r="J2" s="156"/>
      <c r="K2" s="156"/>
      <c r="L2" s="156"/>
      <c r="M2" s="156"/>
      <c r="N2" s="156"/>
    </row>
    <row r="3" spans="2:14" x14ac:dyDescent="0.3">
      <c r="B3" s="145" t="s">
        <v>136</v>
      </c>
      <c r="C3" s="145"/>
      <c r="D3" s="145"/>
      <c r="E3" s="145"/>
      <c r="F3" s="145"/>
      <c r="G3" s="145"/>
      <c r="H3" s="145"/>
      <c r="I3" s="145"/>
      <c r="J3" s="145"/>
      <c r="K3" s="145"/>
      <c r="L3" s="145"/>
      <c r="M3" s="145"/>
      <c r="N3" s="145"/>
    </row>
    <row r="4" spans="2:14" x14ac:dyDescent="0.3">
      <c r="B4" s="146" t="s">
        <v>1</v>
      </c>
      <c r="C4" s="146"/>
      <c r="D4" s="146"/>
      <c r="E4" s="146"/>
      <c r="F4" s="146"/>
      <c r="G4" s="146"/>
      <c r="H4" s="146"/>
      <c r="I4" s="146"/>
      <c r="J4" s="146"/>
      <c r="K4" s="146"/>
      <c r="L4" s="146"/>
      <c r="M4" s="146"/>
      <c r="N4" s="146"/>
    </row>
    <row r="5" spans="2:14" x14ac:dyDescent="0.3">
      <c r="B5" s="2"/>
      <c r="C5" s="2"/>
      <c r="D5" s="2"/>
      <c r="E5" s="2"/>
      <c r="F5" s="2"/>
      <c r="G5" s="2"/>
      <c r="H5" s="2"/>
      <c r="I5" s="2"/>
      <c r="J5" s="2"/>
      <c r="K5" s="2"/>
      <c r="L5" s="2"/>
      <c r="M5" s="2"/>
      <c r="N5" s="2"/>
    </row>
    <row r="6" spans="2:14" ht="17.25" thickBot="1" x14ac:dyDescent="0.35">
      <c r="B6" s="157" t="s">
        <v>2</v>
      </c>
      <c r="C6" s="157"/>
      <c r="D6" s="157"/>
      <c r="E6" s="157"/>
      <c r="F6" s="157"/>
      <c r="G6" s="157"/>
      <c r="H6" s="157"/>
      <c r="I6" s="157"/>
      <c r="J6" s="157"/>
      <c r="K6" s="157"/>
      <c r="L6" s="157"/>
      <c r="M6" s="157"/>
      <c r="N6" s="157"/>
    </row>
    <row r="7" spans="2:14" x14ac:dyDescent="0.3">
      <c r="B7" s="147" t="s">
        <v>3</v>
      </c>
      <c r="C7" s="149" t="s">
        <v>4</v>
      </c>
      <c r="D7" s="147" t="s">
        <v>5</v>
      </c>
      <c r="E7" s="147"/>
      <c r="F7" s="147"/>
      <c r="G7" s="3"/>
      <c r="H7" s="147" t="s">
        <v>6</v>
      </c>
      <c r="I7" s="147"/>
      <c r="J7" s="147"/>
      <c r="K7" s="3"/>
      <c r="L7" s="147" t="s">
        <v>7</v>
      </c>
      <c r="M7" s="147"/>
      <c r="N7" s="147"/>
    </row>
    <row r="8" spans="2:14" s="6" customFormat="1" ht="27" customHeight="1" thickBot="1" x14ac:dyDescent="0.35">
      <c r="B8" s="148"/>
      <c r="C8" s="150"/>
      <c r="D8" s="4" t="s">
        <v>8</v>
      </c>
      <c r="E8" s="4" t="s">
        <v>9</v>
      </c>
      <c r="F8" s="4" t="s">
        <v>10</v>
      </c>
      <c r="G8" s="5"/>
      <c r="H8" s="4" t="s">
        <v>11</v>
      </c>
      <c r="I8" s="4" t="s">
        <v>12</v>
      </c>
      <c r="J8" s="4" t="s">
        <v>10</v>
      </c>
      <c r="K8" s="5"/>
      <c r="L8" s="4" t="s">
        <v>11</v>
      </c>
      <c r="M8" s="4" t="s">
        <v>12</v>
      </c>
      <c r="N8" s="4" t="s">
        <v>10</v>
      </c>
    </row>
    <row r="9" spans="2:14" x14ac:dyDescent="0.3">
      <c r="B9" s="7" t="s">
        <v>13</v>
      </c>
      <c r="C9" s="8">
        <f>SUM(C10:C34)</f>
        <v>84244.865000000005</v>
      </c>
      <c r="D9" s="8">
        <f>SUM(D10:D34)</f>
        <v>23595.834999999999</v>
      </c>
      <c r="E9" s="8">
        <f>SUM(E10:E34)</f>
        <v>12444.927000000001</v>
      </c>
      <c r="F9" s="8">
        <f>SUM(F10:F34)</f>
        <v>11150.908000000003</v>
      </c>
      <c r="G9" s="9"/>
      <c r="H9" s="8">
        <f>SUM(H10:H34)</f>
        <v>25774.26</v>
      </c>
      <c r="I9" s="10">
        <f>SUM(I10:I34)</f>
        <v>1987.6299999999999</v>
      </c>
      <c r="J9" s="8">
        <f>SUM(J10:J34)</f>
        <v>23786.63</v>
      </c>
      <c r="K9" s="8"/>
      <c r="L9" s="8">
        <f>SUM(L10:L34)</f>
        <v>34874.770000000004</v>
      </c>
      <c r="M9" s="10">
        <f>SUM(M10:M34)</f>
        <v>880.42999999999972</v>
      </c>
      <c r="N9" s="8">
        <f>SUM(N10:N34)</f>
        <v>33994.340000000004</v>
      </c>
    </row>
    <row r="10" spans="2:14" x14ac:dyDescent="0.3">
      <c r="B10" s="11" t="s">
        <v>14</v>
      </c>
      <c r="C10" s="12">
        <f t="shared" ref="C10:C34" si="0">SUM(D10,H10,L10)</f>
        <v>1954.2470000000003</v>
      </c>
      <c r="D10" s="12">
        <f t="shared" ref="D10:D34" si="1">SUM(E10:F10)</f>
        <v>837.06700000000001</v>
      </c>
      <c r="E10" s="12">
        <v>311.28199999999998</v>
      </c>
      <c r="F10" s="12">
        <v>525.78499999999997</v>
      </c>
      <c r="G10" s="12"/>
      <c r="H10" s="12">
        <f t="shared" ref="H10:H34" si="2">SUM(I10:J10)</f>
        <v>646.78000000000009</v>
      </c>
      <c r="I10" s="12">
        <v>8.19</v>
      </c>
      <c r="J10" s="12">
        <v>638.59</v>
      </c>
      <c r="K10" s="12"/>
      <c r="L10" s="12">
        <f t="shared" ref="L10:L34" si="3">SUM(M10:N10)</f>
        <v>470.4</v>
      </c>
      <c r="M10" s="12">
        <v>0</v>
      </c>
      <c r="N10" s="12">
        <v>470.4</v>
      </c>
    </row>
    <row r="11" spans="2:14" x14ac:dyDescent="0.3">
      <c r="B11" s="7" t="s">
        <v>15</v>
      </c>
      <c r="C11" s="12">
        <f t="shared" si="0"/>
        <v>5900.5490000000009</v>
      </c>
      <c r="D11" s="12">
        <f t="shared" si="1"/>
        <v>1589.9090000000001</v>
      </c>
      <c r="E11" s="12">
        <v>803.01700000000005</v>
      </c>
      <c r="F11" s="12">
        <v>786.89200000000005</v>
      </c>
      <c r="G11" s="12"/>
      <c r="H11" s="12">
        <f t="shared" si="2"/>
        <v>1533.02</v>
      </c>
      <c r="I11" s="12">
        <v>266.99</v>
      </c>
      <c r="J11" s="12">
        <v>1266.03</v>
      </c>
      <c r="K11" s="12"/>
      <c r="L11" s="12">
        <f t="shared" si="3"/>
        <v>2777.6200000000003</v>
      </c>
      <c r="M11" s="12">
        <v>30.52</v>
      </c>
      <c r="N11" s="12">
        <v>2747.1000000000004</v>
      </c>
    </row>
    <row r="12" spans="2:14" x14ac:dyDescent="0.3">
      <c r="B12" s="7" t="s">
        <v>16</v>
      </c>
      <c r="C12" s="12">
        <f t="shared" si="0"/>
        <v>3740.1009999999997</v>
      </c>
      <c r="D12" s="12">
        <f t="shared" si="1"/>
        <v>1108.5610000000001</v>
      </c>
      <c r="E12" s="12">
        <v>287.89499999999998</v>
      </c>
      <c r="F12" s="12">
        <v>820.66600000000005</v>
      </c>
      <c r="G12" s="12"/>
      <c r="H12" s="12">
        <f t="shared" si="2"/>
        <v>1290.4499999999998</v>
      </c>
      <c r="I12" s="12">
        <v>0</v>
      </c>
      <c r="J12" s="12">
        <v>1290.4499999999998</v>
      </c>
      <c r="K12" s="12"/>
      <c r="L12" s="12">
        <f t="shared" si="3"/>
        <v>1341.09</v>
      </c>
      <c r="M12" s="12">
        <v>2.97</v>
      </c>
      <c r="N12" s="12">
        <v>1338.12</v>
      </c>
    </row>
    <row r="13" spans="2:14" x14ac:dyDescent="0.3">
      <c r="B13" s="7" t="s">
        <v>17</v>
      </c>
      <c r="C13" s="12">
        <f t="shared" si="0"/>
        <v>6490.1839999999993</v>
      </c>
      <c r="D13" s="12">
        <f t="shared" si="1"/>
        <v>1739.4740000000002</v>
      </c>
      <c r="E13" s="12">
        <v>1040.067</v>
      </c>
      <c r="F13" s="12">
        <v>699.40700000000004</v>
      </c>
      <c r="G13" s="12"/>
      <c r="H13" s="12">
        <f t="shared" si="2"/>
        <v>1869.73</v>
      </c>
      <c r="I13" s="12">
        <v>327.2</v>
      </c>
      <c r="J13" s="12">
        <v>1542.53</v>
      </c>
      <c r="K13" s="12"/>
      <c r="L13" s="12">
        <f t="shared" si="3"/>
        <v>2880.9799999999996</v>
      </c>
      <c r="M13" s="12">
        <v>120.2</v>
      </c>
      <c r="N13" s="12">
        <v>2760.7799999999997</v>
      </c>
    </row>
    <row r="14" spans="2:14" x14ac:dyDescent="0.3">
      <c r="B14" s="7" t="s">
        <v>18</v>
      </c>
      <c r="C14" s="12">
        <f t="shared" si="0"/>
        <v>4819.5029999999997</v>
      </c>
      <c r="D14" s="12">
        <f t="shared" si="1"/>
        <v>1343.5030000000002</v>
      </c>
      <c r="E14" s="12">
        <v>422.572</v>
      </c>
      <c r="F14" s="12">
        <v>920.93100000000004</v>
      </c>
      <c r="G14" s="12"/>
      <c r="H14" s="12">
        <f t="shared" si="2"/>
        <v>2157.46</v>
      </c>
      <c r="I14" s="12">
        <v>7.16</v>
      </c>
      <c r="J14" s="12">
        <v>2150.3000000000002</v>
      </c>
      <c r="K14" s="12"/>
      <c r="L14" s="12">
        <f t="shared" si="3"/>
        <v>1318.5399999999997</v>
      </c>
      <c r="M14" s="12">
        <v>9.0299999999999994</v>
      </c>
      <c r="N14" s="12">
        <v>1309.5099999999998</v>
      </c>
    </row>
    <row r="15" spans="2:14" x14ac:dyDescent="0.3">
      <c r="B15" s="7" t="s">
        <v>19</v>
      </c>
      <c r="C15" s="12">
        <f t="shared" si="0"/>
        <v>5468.1040000000003</v>
      </c>
      <c r="D15" s="12">
        <f t="shared" si="1"/>
        <v>1588.4639999999999</v>
      </c>
      <c r="E15" s="12">
        <v>577.63400000000001</v>
      </c>
      <c r="F15" s="12">
        <v>1010.83</v>
      </c>
      <c r="G15" s="12"/>
      <c r="H15" s="12">
        <f t="shared" si="2"/>
        <v>885.56999999999994</v>
      </c>
      <c r="I15" s="12">
        <v>0</v>
      </c>
      <c r="J15" s="12">
        <v>885.56999999999994</v>
      </c>
      <c r="K15" s="12"/>
      <c r="L15" s="12">
        <f t="shared" si="3"/>
        <v>2994.0700000000006</v>
      </c>
      <c r="M15" s="12">
        <v>13.92</v>
      </c>
      <c r="N15" s="12">
        <v>2980.1500000000005</v>
      </c>
    </row>
    <row r="16" spans="2:14" x14ac:dyDescent="0.3">
      <c r="B16" s="7" t="s">
        <v>20</v>
      </c>
      <c r="C16" s="12">
        <f t="shared" si="0"/>
        <v>29.055</v>
      </c>
      <c r="D16" s="12">
        <f t="shared" si="1"/>
        <v>13.095000000000001</v>
      </c>
      <c r="E16" s="12">
        <v>13.095000000000001</v>
      </c>
      <c r="F16" s="12">
        <v>0</v>
      </c>
      <c r="G16" s="12"/>
      <c r="H16" s="12">
        <f t="shared" si="2"/>
        <v>15.96</v>
      </c>
      <c r="I16" s="12">
        <v>15.96</v>
      </c>
      <c r="J16" s="12">
        <v>0</v>
      </c>
      <c r="K16" s="12"/>
      <c r="L16" s="12">
        <f t="shared" si="3"/>
        <v>0</v>
      </c>
      <c r="M16" s="12"/>
      <c r="N16" s="12"/>
    </row>
    <row r="17" spans="2:16" x14ac:dyDescent="0.3">
      <c r="B17" s="7" t="s">
        <v>21</v>
      </c>
      <c r="C17" s="12">
        <f t="shared" si="0"/>
        <v>6145.5569999999989</v>
      </c>
      <c r="D17" s="12">
        <f t="shared" si="1"/>
        <v>1793.4769999999999</v>
      </c>
      <c r="E17" s="12">
        <v>797.86</v>
      </c>
      <c r="F17" s="12">
        <v>995.61699999999996</v>
      </c>
      <c r="G17" s="12"/>
      <c r="H17" s="12">
        <f t="shared" si="2"/>
        <v>2567.69</v>
      </c>
      <c r="I17" s="12">
        <v>110.11</v>
      </c>
      <c r="J17" s="12">
        <v>2457.58</v>
      </c>
      <c r="K17" s="12"/>
      <c r="L17" s="12">
        <f t="shared" si="3"/>
        <v>1784.3899999999999</v>
      </c>
      <c r="M17" s="12">
        <v>22.69</v>
      </c>
      <c r="N17" s="12">
        <v>1761.6999999999998</v>
      </c>
    </row>
    <row r="18" spans="2:16" x14ac:dyDescent="0.3">
      <c r="B18" s="7" t="s">
        <v>22</v>
      </c>
      <c r="C18" s="12">
        <f t="shared" si="0"/>
        <v>4769.9229999999998</v>
      </c>
      <c r="D18" s="12">
        <f t="shared" si="1"/>
        <v>1227.8630000000001</v>
      </c>
      <c r="E18" s="12">
        <v>280.25700000000001</v>
      </c>
      <c r="F18" s="12">
        <v>947.60599999999999</v>
      </c>
      <c r="G18" s="12"/>
      <c r="H18" s="12">
        <f t="shared" si="2"/>
        <v>1554.27</v>
      </c>
      <c r="I18" s="12">
        <v>0</v>
      </c>
      <c r="J18" s="12">
        <v>1554.27</v>
      </c>
      <c r="K18" s="12"/>
      <c r="L18" s="12">
        <f t="shared" si="3"/>
        <v>1987.79</v>
      </c>
      <c r="M18" s="12">
        <v>0</v>
      </c>
      <c r="N18" s="12">
        <v>1987.79</v>
      </c>
    </row>
    <row r="19" spans="2:16" x14ac:dyDescent="0.3">
      <c r="B19" s="7" t="s">
        <v>23</v>
      </c>
      <c r="C19" s="12">
        <f t="shared" si="0"/>
        <v>3141.616</v>
      </c>
      <c r="D19" s="12">
        <f t="shared" si="1"/>
        <v>870.846</v>
      </c>
      <c r="E19" s="12">
        <v>401.221</v>
      </c>
      <c r="F19" s="12">
        <v>469.625</v>
      </c>
      <c r="G19" s="12"/>
      <c r="H19" s="12">
        <f t="shared" si="2"/>
        <v>775.45</v>
      </c>
      <c r="I19" s="12">
        <v>8.83</v>
      </c>
      <c r="J19" s="12">
        <v>766.62</v>
      </c>
      <c r="K19" s="12"/>
      <c r="L19" s="12">
        <f t="shared" si="3"/>
        <v>1495.3200000000002</v>
      </c>
      <c r="M19" s="12">
        <v>19.98</v>
      </c>
      <c r="N19" s="12">
        <v>1475.3400000000001</v>
      </c>
    </row>
    <row r="20" spans="2:16" x14ac:dyDescent="0.3">
      <c r="B20" s="7" t="s">
        <v>24</v>
      </c>
      <c r="C20" s="12">
        <f t="shared" si="0"/>
        <v>2287.922</v>
      </c>
      <c r="D20" s="12">
        <f t="shared" si="1"/>
        <v>626.46199999999999</v>
      </c>
      <c r="E20" s="12">
        <v>548.46900000000005</v>
      </c>
      <c r="F20" s="12">
        <v>77.992999999999995</v>
      </c>
      <c r="G20" s="12"/>
      <c r="H20" s="12">
        <f t="shared" si="2"/>
        <v>766.42</v>
      </c>
      <c r="I20" s="12">
        <v>83.77</v>
      </c>
      <c r="J20" s="12">
        <v>682.65</v>
      </c>
      <c r="K20" s="12"/>
      <c r="L20" s="12">
        <f t="shared" si="3"/>
        <v>895.04000000000008</v>
      </c>
      <c r="M20" s="12">
        <v>60.570000000000007</v>
      </c>
      <c r="N20" s="12">
        <v>834.47</v>
      </c>
    </row>
    <row r="21" spans="2:16" x14ac:dyDescent="0.3">
      <c r="B21" s="7" t="s">
        <v>25</v>
      </c>
      <c r="C21" s="12">
        <f t="shared" si="0"/>
        <v>5587.8729999999996</v>
      </c>
      <c r="D21" s="12">
        <f t="shared" si="1"/>
        <v>1143.5029999999999</v>
      </c>
      <c r="E21" s="12">
        <v>716.18299999999999</v>
      </c>
      <c r="F21" s="12">
        <v>427.32</v>
      </c>
      <c r="G21" s="12"/>
      <c r="H21" s="12">
        <f t="shared" si="2"/>
        <v>842.66000000000008</v>
      </c>
      <c r="I21" s="12">
        <v>33.450000000000003</v>
      </c>
      <c r="J21" s="12">
        <v>809.21</v>
      </c>
      <c r="K21" s="12"/>
      <c r="L21" s="12">
        <f t="shared" si="3"/>
        <v>3601.7099999999996</v>
      </c>
      <c r="M21" s="12">
        <v>34.910000000000004</v>
      </c>
      <c r="N21" s="12">
        <v>3566.7999999999997</v>
      </c>
    </row>
    <row r="22" spans="2:16" x14ac:dyDescent="0.3">
      <c r="B22" s="7" t="s">
        <v>26</v>
      </c>
      <c r="C22" s="12">
        <f t="shared" si="0"/>
        <v>5090.2980000000007</v>
      </c>
      <c r="D22" s="12">
        <f t="shared" si="1"/>
        <v>1243.9580000000001</v>
      </c>
      <c r="E22" s="12">
        <v>486.08600000000001</v>
      </c>
      <c r="F22" s="12">
        <v>757.87199999999996</v>
      </c>
      <c r="G22" s="12"/>
      <c r="H22" s="12">
        <f t="shared" si="2"/>
        <v>1744.54</v>
      </c>
      <c r="I22" s="12">
        <v>80.540000000000006</v>
      </c>
      <c r="J22" s="12">
        <v>1664</v>
      </c>
      <c r="K22" s="12"/>
      <c r="L22" s="12">
        <f t="shared" si="3"/>
        <v>2101.8000000000002</v>
      </c>
      <c r="M22" s="12">
        <v>104.39999999999999</v>
      </c>
      <c r="N22" s="12">
        <v>1997.4</v>
      </c>
    </row>
    <row r="23" spans="2:16" x14ac:dyDescent="0.3">
      <c r="B23" s="7" t="s">
        <v>27</v>
      </c>
      <c r="C23" s="12">
        <f t="shared" si="0"/>
        <v>1933.9549999999999</v>
      </c>
      <c r="D23" s="12">
        <f t="shared" si="1"/>
        <v>467.625</v>
      </c>
      <c r="E23" s="12">
        <v>363.12599999999998</v>
      </c>
      <c r="F23" s="12">
        <v>104.499</v>
      </c>
      <c r="G23" s="12"/>
      <c r="H23" s="12">
        <f t="shared" si="2"/>
        <v>540.13</v>
      </c>
      <c r="I23" s="12">
        <v>181.28</v>
      </c>
      <c r="J23" s="12">
        <v>358.84999999999997</v>
      </c>
      <c r="K23" s="12"/>
      <c r="L23" s="12">
        <f t="shared" si="3"/>
        <v>926.19999999999993</v>
      </c>
      <c r="M23" s="12">
        <v>21.63</v>
      </c>
      <c r="N23" s="12">
        <v>904.56999999999994</v>
      </c>
    </row>
    <row r="24" spans="2:16" x14ac:dyDescent="0.3">
      <c r="B24" s="7" t="s">
        <v>28</v>
      </c>
      <c r="C24" s="12">
        <f t="shared" si="0"/>
        <v>4837.3760000000002</v>
      </c>
      <c r="D24" s="12">
        <f t="shared" si="1"/>
        <v>1424.2660000000001</v>
      </c>
      <c r="E24" s="12">
        <v>1002.851</v>
      </c>
      <c r="F24" s="12">
        <v>421.41500000000002</v>
      </c>
      <c r="G24" s="12"/>
      <c r="H24" s="12">
        <f t="shared" si="2"/>
        <v>1795.56</v>
      </c>
      <c r="I24" s="12">
        <v>134.06</v>
      </c>
      <c r="J24" s="12">
        <v>1661.5</v>
      </c>
      <c r="K24" s="12"/>
      <c r="L24" s="12">
        <f t="shared" si="3"/>
        <v>1617.55</v>
      </c>
      <c r="M24" s="12">
        <v>136.59</v>
      </c>
      <c r="N24" s="12">
        <v>1480.96</v>
      </c>
    </row>
    <row r="25" spans="2:16" x14ac:dyDescent="0.3">
      <c r="B25" s="7" t="s">
        <v>29</v>
      </c>
      <c r="C25" s="12">
        <f t="shared" si="0"/>
        <v>769.45400000000006</v>
      </c>
      <c r="D25" s="12">
        <f t="shared" si="1"/>
        <v>87.884</v>
      </c>
      <c r="E25" s="12">
        <v>43.085000000000001</v>
      </c>
      <c r="F25" s="12">
        <v>44.798999999999999</v>
      </c>
      <c r="G25" s="12"/>
      <c r="H25" s="12">
        <f t="shared" si="2"/>
        <v>593.3900000000001</v>
      </c>
      <c r="I25" s="12">
        <v>108.56</v>
      </c>
      <c r="J25" s="12">
        <v>484.83000000000004</v>
      </c>
      <c r="K25" s="12"/>
      <c r="L25" s="12">
        <f t="shared" si="3"/>
        <v>88.179999999999993</v>
      </c>
      <c r="M25" s="12">
        <v>0</v>
      </c>
      <c r="N25" s="12">
        <v>88.179999999999993</v>
      </c>
    </row>
    <row r="26" spans="2:16" x14ac:dyDescent="0.3">
      <c r="B26" s="7" t="s">
        <v>30</v>
      </c>
      <c r="C26" s="12">
        <f t="shared" si="0"/>
        <v>1289.386</v>
      </c>
      <c r="D26" s="12">
        <f t="shared" si="1"/>
        <v>399.27600000000001</v>
      </c>
      <c r="E26" s="12">
        <v>397.84500000000003</v>
      </c>
      <c r="F26" s="12">
        <v>1.431</v>
      </c>
      <c r="G26" s="12"/>
      <c r="H26" s="12">
        <f t="shared" si="2"/>
        <v>178.77000000000004</v>
      </c>
      <c r="I26" s="12">
        <v>1.36</v>
      </c>
      <c r="J26" s="12">
        <v>177.41000000000003</v>
      </c>
      <c r="K26" s="12"/>
      <c r="L26" s="12">
        <f t="shared" si="3"/>
        <v>711.33999999999992</v>
      </c>
      <c r="M26" s="12">
        <v>5.0599999999999996</v>
      </c>
      <c r="N26" s="12">
        <v>706.28</v>
      </c>
    </row>
    <row r="27" spans="2:16" x14ac:dyDescent="0.3">
      <c r="B27" s="7" t="s">
        <v>31</v>
      </c>
      <c r="C27" s="12">
        <f t="shared" si="0"/>
        <v>1922.7779999999998</v>
      </c>
      <c r="D27" s="12">
        <f t="shared" si="1"/>
        <v>641.798</v>
      </c>
      <c r="E27" s="12">
        <v>439.69</v>
      </c>
      <c r="F27" s="12">
        <v>202.108</v>
      </c>
      <c r="G27" s="12"/>
      <c r="H27" s="12">
        <f t="shared" si="2"/>
        <v>913.92</v>
      </c>
      <c r="I27" s="12">
        <v>0</v>
      </c>
      <c r="J27" s="12">
        <v>913.92</v>
      </c>
      <c r="K27" s="12"/>
      <c r="L27" s="12">
        <f t="shared" si="3"/>
        <v>367.06</v>
      </c>
      <c r="M27" s="12">
        <v>16.54</v>
      </c>
      <c r="N27" s="12">
        <v>350.52</v>
      </c>
    </row>
    <row r="28" spans="2:16" x14ac:dyDescent="0.3">
      <c r="B28" s="7" t="s">
        <v>32</v>
      </c>
      <c r="C28" s="12">
        <f t="shared" si="0"/>
        <v>2500.9560000000001</v>
      </c>
      <c r="D28" s="12">
        <f t="shared" si="1"/>
        <v>564.86599999999999</v>
      </c>
      <c r="E28" s="12">
        <v>136.696</v>
      </c>
      <c r="F28" s="12">
        <v>428.17</v>
      </c>
      <c r="G28" s="12"/>
      <c r="H28" s="12">
        <f t="shared" si="2"/>
        <v>627.39</v>
      </c>
      <c r="I28" s="12">
        <v>107.23</v>
      </c>
      <c r="J28" s="12">
        <v>520.16</v>
      </c>
      <c r="K28" s="12"/>
      <c r="L28" s="12">
        <f t="shared" si="3"/>
        <v>1308.7</v>
      </c>
      <c r="M28" s="12">
        <v>0</v>
      </c>
      <c r="N28" s="12">
        <v>1308.7</v>
      </c>
      <c r="P28" s="1" t="s">
        <v>33</v>
      </c>
    </row>
    <row r="29" spans="2:16" x14ac:dyDescent="0.3">
      <c r="B29" s="7" t="s">
        <v>34</v>
      </c>
      <c r="C29" s="12">
        <f t="shared" si="0"/>
        <v>4228.9449999999997</v>
      </c>
      <c r="D29" s="12">
        <f t="shared" si="1"/>
        <v>1215.425</v>
      </c>
      <c r="E29" s="12">
        <v>907.53700000000003</v>
      </c>
      <c r="F29" s="12">
        <v>307.88799999999998</v>
      </c>
      <c r="G29" s="12"/>
      <c r="H29" s="12">
        <f t="shared" si="2"/>
        <v>789.65</v>
      </c>
      <c r="I29" s="12">
        <v>227.66</v>
      </c>
      <c r="J29" s="12">
        <v>561.99</v>
      </c>
      <c r="K29" s="12"/>
      <c r="L29" s="12">
        <f t="shared" si="3"/>
        <v>2223.87</v>
      </c>
      <c r="M29" s="12">
        <v>127.74000000000001</v>
      </c>
      <c r="N29" s="12">
        <v>2096.13</v>
      </c>
    </row>
    <row r="30" spans="2:16" x14ac:dyDescent="0.3">
      <c r="B30" s="7" t="s">
        <v>35</v>
      </c>
      <c r="C30" s="12">
        <f t="shared" si="0"/>
        <v>5340.69</v>
      </c>
      <c r="D30" s="12">
        <f t="shared" si="1"/>
        <v>1828.05</v>
      </c>
      <c r="E30" s="12">
        <v>1153.4259999999999</v>
      </c>
      <c r="F30" s="12">
        <v>674.62400000000002</v>
      </c>
      <c r="G30" s="12"/>
      <c r="H30" s="12">
        <f t="shared" si="2"/>
        <v>2037.8500000000001</v>
      </c>
      <c r="I30" s="12">
        <v>114.64</v>
      </c>
      <c r="J30" s="12">
        <v>1923.21</v>
      </c>
      <c r="K30" s="12"/>
      <c r="L30" s="12">
        <f t="shared" si="3"/>
        <v>1474.7899999999997</v>
      </c>
      <c r="M30" s="12">
        <v>35.18</v>
      </c>
      <c r="N30" s="12">
        <v>1439.6099999999997</v>
      </c>
    </row>
    <row r="31" spans="2:16" x14ac:dyDescent="0.3">
      <c r="B31" s="7" t="s">
        <v>36</v>
      </c>
      <c r="C31" s="12">
        <f t="shared" si="0"/>
        <v>2212.88</v>
      </c>
      <c r="D31" s="12">
        <f t="shared" si="1"/>
        <v>848.07999999999993</v>
      </c>
      <c r="E31" s="12">
        <v>509.803</v>
      </c>
      <c r="F31" s="12">
        <v>338.27699999999999</v>
      </c>
      <c r="G31" s="12"/>
      <c r="H31" s="12">
        <f t="shared" si="2"/>
        <v>578.3599999999999</v>
      </c>
      <c r="I31" s="12">
        <v>32.03</v>
      </c>
      <c r="J31" s="12">
        <v>546.32999999999993</v>
      </c>
      <c r="K31" s="12"/>
      <c r="L31" s="12">
        <f t="shared" si="3"/>
        <v>786.44</v>
      </c>
      <c r="M31" s="12">
        <v>19.72</v>
      </c>
      <c r="N31" s="12">
        <v>766.72</v>
      </c>
    </row>
    <row r="32" spans="2:16" x14ac:dyDescent="0.3">
      <c r="B32" s="7" t="s">
        <v>37</v>
      </c>
      <c r="C32" s="12">
        <f t="shared" si="0"/>
        <v>1842.2150000000001</v>
      </c>
      <c r="D32" s="12">
        <f t="shared" si="1"/>
        <v>632.625</v>
      </c>
      <c r="E32" s="12">
        <v>454.71600000000001</v>
      </c>
      <c r="F32" s="12">
        <v>177.90899999999999</v>
      </c>
      <c r="G32" s="12"/>
      <c r="H32" s="12">
        <f t="shared" si="2"/>
        <v>499.92</v>
      </c>
      <c r="I32" s="12">
        <v>62.55</v>
      </c>
      <c r="J32" s="12">
        <v>437.37</v>
      </c>
      <c r="K32" s="12"/>
      <c r="L32" s="12">
        <f t="shared" si="3"/>
        <v>709.67000000000007</v>
      </c>
      <c r="M32" s="12">
        <v>89.07</v>
      </c>
      <c r="N32" s="12">
        <v>620.6</v>
      </c>
    </row>
    <row r="33" spans="2:14" x14ac:dyDescent="0.3">
      <c r="B33" s="7" t="s">
        <v>38</v>
      </c>
      <c r="C33" s="12">
        <f t="shared" si="0"/>
        <v>712.63599999999997</v>
      </c>
      <c r="D33" s="12">
        <f t="shared" si="1"/>
        <v>138.14599999999999</v>
      </c>
      <c r="E33" s="12">
        <v>138.14599999999999</v>
      </c>
      <c r="F33" s="12">
        <v>0</v>
      </c>
      <c r="G33" s="12"/>
      <c r="H33" s="12">
        <f t="shared" si="2"/>
        <v>300.14</v>
      </c>
      <c r="I33" s="12">
        <v>76.06</v>
      </c>
      <c r="J33" s="12">
        <v>224.07999999999998</v>
      </c>
      <c r="K33" s="12"/>
      <c r="L33" s="12">
        <f t="shared" si="3"/>
        <v>274.34999999999997</v>
      </c>
      <c r="M33" s="12">
        <v>2.9</v>
      </c>
      <c r="N33" s="12">
        <v>271.45</v>
      </c>
    </row>
    <row r="34" spans="2:14" ht="17.25" thickBot="1" x14ac:dyDescent="0.35">
      <c r="B34" s="13" t="s">
        <v>39</v>
      </c>
      <c r="C34" s="14">
        <f t="shared" si="0"/>
        <v>1228.6619999999998</v>
      </c>
      <c r="D34" s="14">
        <f t="shared" si="1"/>
        <v>221.61199999999999</v>
      </c>
      <c r="E34" s="14">
        <v>212.36799999999999</v>
      </c>
      <c r="F34" s="14">
        <v>9.2439999999999998</v>
      </c>
      <c r="G34" s="14"/>
      <c r="H34" s="14">
        <f t="shared" si="2"/>
        <v>269.18</v>
      </c>
      <c r="I34" s="14">
        <v>0</v>
      </c>
      <c r="J34" s="14">
        <v>269.18</v>
      </c>
      <c r="K34" s="14"/>
      <c r="L34" s="14">
        <f t="shared" si="3"/>
        <v>737.86999999999989</v>
      </c>
      <c r="M34" s="14">
        <v>6.81</v>
      </c>
      <c r="N34" s="14">
        <v>731.06</v>
      </c>
    </row>
    <row r="35" spans="2:14" ht="11.25" customHeight="1" x14ac:dyDescent="0.3">
      <c r="C35" s="2"/>
      <c r="D35" s="2"/>
      <c r="E35" s="2"/>
      <c r="F35" s="2"/>
      <c r="G35" s="2"/>
      <c r="H35" s="2"/>
      <c r="I35" s="2"/>
      <c r="J35" s="2"/>
      <c r="K35" s="2"/>
      <c r="L35" s="2"/>
      <c r="M35" s="2"/>
      <c r="N35" s="2"/>
    </row>
    <row r="36" spans="2:14" x14ac:dyDescent="0.3">
      <c r="B36" s="155" t="s">
        <v>40</v>
      </c>
      <c r="C36" s="155"/>
      <c r="D36" s="155"/>
      <c r="E36" s="155"/>
      <c r="F36" s="155"/>
      <c r="G36" s="155"/>
      <c r="H36" s="155"/>
      <c r="I36" s="155"/>
      <c r="J36" s="155"/>
      <c r="K36" s="155"/>
      <c r="L36" s="155"/>
      <c r="M36" s="155"/>
      <c r="N36" s="155"/>
    </row>
    <row r="37" spans="2:14" x14ac:dyDescent="0.3">
      <c r="B37" s="155" t="s">
        <v>41</v>
      </c>
      <c r="C37" s="155"/>
      <c r="D37" s="155"/>
      <c r="E37" s="155"/>
      <c r="F37" s="155"/>
      <c r="G37" s="155"/>
      <c r="H37" s="155"/>
      <c r="I37" s="155"/>
      <c r="J37" s="155"/>
      <c r="K37" s="155"/>
      <c r="L37" s="155"/>
      <c r="M37" s="155"/>
      <c r="N37" s="155"/>
    </row>
    <row r="38" spans="2:14" x14ac:dyDescent="0.3">
      <c r="B38" s="15" t="s">
        <v>42</v>
      </c>
    </row>
    <row r="39" spans="2:14" x14ac:dyDescent="0.3">
      <c r="B39" s="16" t="s">
        <v>43</v>
      </c>
      <c r="E39" s="17"/>
      <c r="F39" s="17"/>
    </row>
  </sheetData>
  <mergeCells count="11">
    <mergeCell ref="B36:N36"/>
    <mergeCell ref="B37:N37"/>
    <mergeCell ref="B2:N2"/>
    <mergeCell ref="B3:N3"/>
    <mergeCell ref="B4:N4"/>
    <mergeCell ref="B6:N6"/>
    <mergeCell ref="B7:B8"/>
    <mergeCell ref="C7:C8"/>
    <mergeCell ref="D7:F7"/>
    <mergeCell ref="H7:J7"/>
    <mergeCell ref="L7:N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42"/>
  <sheetViews>
    <sheetView topLeftCell="A9" zoomScale="80" zoomScaleNormal="80" workbookViewId="0">
      <selection activeCell="A8" sqref="A1:XFD1048576"/>
    </sheetView>
  </sheetViews>
  <sheetFormatPr baseColWidth="10" defaultColWidth="11.42578125" defaultRowHeight="16.5" x14ac:dyDescent="0.3"/>
  <cols>
    <col min="1" max="4" width="11.42578125" style="1"/>
    <col min="5" max="5" width="13.140625" style="1" customWidth="1"/>
    <col min="6" max="6" width="15.5703125" style="1" customWidth="1"/>
    <col min="7" max="7" width="3.42578125" style="1" customWidth="1"/>
    <col min="8" max="9" width="11.42578125" style="1"/>
    <col min="10" max="10" width="14.42578125" style="1" customWidth="1"/>
    <col min="11" max="11" width="3.140625" style="1" customWidth="1"/>
    <col min="12" max="13" width="11.42578125" style="1"/>
    <col min="14" max="14" width="14.28515625" style="1" customWidth="1"/>
    <col min="15" max="16" width="11.42578125" style="1"/>
    <col min="17" max="17" width="33" style="1" customWidth="1"/>
    <col min="18" max="16384" width="11.42578125" style="1"/>
  </cols>
  <sheetData>
    <row r="2" spans="2:14" x14ac:dyDescent="0.3">
      <c r="B2" s="156"/>
      <c r="C2" s="156"/>
      <c r="D2" s="156"/>
      <c r="E2" s="156"/>
      <c r="F2" s="156"/>
      <c r="G2" s="156"/>
      <c r="H2" s="156"/>
      <c r="I2" s="156"/>
      <c r="J2" s="156"/>
      <c r="K2" s="156"/>
      <c r="L2" s="156"/>
      <c r="M2" s="156"/>
      <c r="N2" s="156"/>
    </row>
    <row r="3" spans="2:14" x14ac:dyDescent="0.3">
      <c r="B3" s="145" t="s">
        <v>136</v>
      </c>
      <c r="C3" s="145"/>
      <c r="D3" s="145"/>
      <c r="E3" s="145"/>
      <c r="F3" s="145"/>
      <c r="G3" s="145"/>
      <c r="H3" s="145"/>
      <c r="I3" s="145"/>
      <c r="J3" s="145"/>
      <c r="K3" s="145"/>
      <c r="L3" s="145"/>
      <c r="M3" s="145"/>
      <c r="N3" s="145"/>
    </row>
    <row r="4" spans="2:14" x14ac:dyDescent="0.3">
      <c r="B4" s="146" t="s">
        <v>44</v>
      </c>
      <c r="C4" s="146"/>
      <c r="D4" s="146"/>
      <c r="E4" s="146"/>
      <c r="F4" s="146"/>
      <c r="G4" s="146"/>
      <c r="H4" s="146"/>
      <c r="I4" s="146"/>
      <c r="J4" s="146"/>
      <c r="K4" s="146"/>
      <c r="L4" s="146"/>
      <c r="M4" s="146"/>
      <c r="N4" s="146"/>
    </row>
    <row r="5" spans="2:14" x14ac:dyDescent="0.3">
      <c r="B5" s="2"/>
      <c r="C5" s="2"/>
      <c r="D5" s="2"/>
      <c r="E5" s="2"/>
      <c r="F5" s="2"/>
      <c r="G5" s="2"/>
      <c r="H5" s="2"/>
      <c r="I5" s="2"/>
      <c r="J5" s="2"/>
      <c r="K5" s="2"/>
      <c r="L5" s="2"/>
      <c r="M5" s="2"/>
      <c r="N5" s="2"/>
    </row>
    <row r="6" spans="2:14" ht="17.25" thickBot="1" x14ac:dyDescent="0.35">
      <c r="B6" s="146" t="s">
        <v>45</v>
      </c>
      <c r="C6" s="146"/>
      <c r="D6" s="146"/>
      <c r="E6" s="146"/>
      <c r="F6" s="146"/>
      <c r="G6" s="146"/>
      <c r="H6" s="146"/>
      <c r="I6" s="146"/>
      <c r="J6" s="146"/>
      <c r="K6" s="146"/>
      <c r="L6" s="146"/>
      <c r="M6" s="146"/>
      <c r="N6" s="146"/>
    </row>
    <row r="7" spans="2:14" x14ac:dyDescent="0.3">
      <c r="B7" s="147" t="s">
        <v>3</v>
      </c>
      <c r="C7" s="149" t="s">
        <v>4</v>
      </c>
      <c r="D7" s="147" t="s">
        <v>5</v>
      </c>
      <c r="E7" s="147"/>
      <c r="F7" s="147"/>
      <c r="G7" s="3"/>
      <c r="H7" s="147" t="s">
        <v>6</v>
      </c>
      <c r="I7" s="147"/>
      <c r="J7" s="147"/>
      <c r="K7" s="3"/>
      <c r="L7" s="147" t="s">
        <v>7</v>
      </c>
      <c r="M7" s="147"/>
      <c r="N7" s="147"/>
    </row>
    <row r="8" spans="2:14" ht="17.25" thickBot="1" x14ac:dyDescent="0.35">
      <c r="B8" s="148"/>
      <c r="C8" s="150"/>
      <c r="D8" s="4" t="s">
        <v>8</v>
      </c>
      <c r="E8" s="4" t="s">
        <v>9</v>
      </c>
      <c r="F8" s="4" t="s">
        <v>10</v>
      </c>
      <c r="G8" s="5"/>
      <c r="H8" s="4" t="s">
        <v>11</v>
      </c>
      <c r="I8" s="4" t="s">
        <v>12</v>
      </c>
      <c r="J8" s="4" t="s">
        <v>10</v>
      </c>
      <c r="K8" s="5"/>
      <c r="L8" s="4" t="s">
        <v>11</v>
      </c>
      <c r="M8" s="4" t="s">
        <v>12</v>
      </c>
      <c r="N8" s="4" t="s">
        <v>10</v>
      </c>
    </row>
    <row r="9" spans="2:14" x14ac:dyDescent="0.3">
      <c r="B9" s="7" t="s">
        <v>13</v>
      </c>
      <c r="C9" s="8">
        <f>SUM(C10:C34)</f>
        <v>127768.00499999999</v>
      </c>
      <c r="D9" s="8">
        <f>SUM(D10:D34)</f>
        <v>23319.347000000002</v>
      </c>
      <c r="E9" s="8">
        <f>SUM(E10:E34)</f>
        <v>13639.654</v>
      </c>
      <c r="F9" s="8">
        <f>SUM(F10:F34)</f>
        <v>9679.6930000000011</v>
      </c>
      <c r="G9" s="9"/>
      <c r="H9" s="8">
        <f>SUM(H10:H34)</f>
        <v>25598.180000000008</v>
      </c>
      <c r="I9" s="8">
        <f>SUM(I10:I34)</f>
        <v>2089.6500000000005</v>
      </c>
      <c r="J9" s="8">
        <f>SUM(J10:J34)</f>
        <v>23508.53</v>
      </c>
      <c r="K9" s="9"/>
      <c r="L9" s="8">
        <f>SUM(L10:L34)</f>
        <v>80244.009999999995</v>
      </c>
      <c r="M9" s="8">
        <f>SUM(M10:M34)</f>
        <v>1484.2799999999997</v>
      </c>
      <c r="N9" s="8">
        <f>SUM(N10:N34)</f>
        <v>78759.73000000001</v>
      </c>
    </row>
    <row r="10" spans="2:14" x14ac:dyDescent="0.3">
      <c r="B10" s="11" t="s">
        <v>14</v>
      </c>
      <c r="C10" s="12">
        <f t="shared" ref="C10:C33" si="0">SUM(D10,H10,L10)</f>
        <v>2860.7470000000003</v>
      </c>
      <c r="D10" s="12">
        <f t="shared" ref="D10:D34" si="1">SUM(E10:F10)</f>
        <v>851.06700000000012</v>
      </c>
      <c r="E10" s="12">
        <v>312.10199999999998</v>
      </c>
      <c r="F10" s="12">
        <v>538.96500000000015</v>
      </c>
      <c r="G10" s="18"/>
      <c r="H10" s="12">
        <f t="shared" ref="H10:H34" si="2">SUM(I10:J10)</f>
        <v>623.17999999999995</v>
      </c>
      <c r="I10" s="19">
        <v>12.05</v>
      </c>
      <c r="J10" s="19">
        <v>611.13</v>
      </c>
      <c r="K10" s="18"/>
      <c r="L10" s="20">
        <f t="shared" ref="L10:L34" si="3">SUM(M10:N10)</f>
        <v>1386.5</v>
      </c>
      <c r="M10" s="12">
        <v>0</v>
      </c>
      <c r="N10" s="20">
        <v>1386.5</v>
      </c>
    </row>
    <row r="11" spans="2:14" x14ac:dyDescent="0.3">
      <c r="B11" s="7" t="s">
        <v>15</v>
      </c>
      <c r="C11" s="12">
        <f t="shared" si="0"/>
        <v>9503.7070000000003</v>
      </c>
      <c r="D11" s="12">
        <f t="shared" si="1"/>
        <v>1589.9070000000002</v>
      </c>
      <c r="E11" s="12">
        <v>932.37300000000016</v>
      </c>
      <c r="F11" s="12">
        <v>657.53399999999999</v>
      </c>
      <c r="G11" s="21"/>
      <c r="H11" s="20">
        <f t="shared" si="2"/>
        <v>1511.4599999999998</v>
      </c>
      <c r="I11" s="19">
        <v>215.04</v>
      </c>
      <c r="J11" s="19">
        <v>1296.4199999999998</v>
      </c>
      <c r="K11" s="21"/>
      <c r="L11" s="20">
        <f t="shared" si="3"/>
        <v>6402.34</v>
      </c>
      <c r="M11" s="12">
        <v>67.819999999999993</v>
      </c>
      <c r="N11" s="20">
        <v>6334.52</v>
      </c>
    </row>
    <row r="12" spans="2:14" x14ac:dyDescent="0.3">
      <c r="B12" s="7" t="s">
        <v>16</v>
      </c>
      <c r="C12" s="12">
        <f t="shared" si="0"/>
        <v>5394.5309999999999</v>
      </c>
      <c r="D12" s="12">
        <f t="shared" si="1"/>
        <v>1108.5610000000001</v>
      </c>
      <c r="E12" s="12">
        <v>335.21899999999999</v>
      </c>
      <c r="F12" s="12">
        <v>773.3420000000001</v>
      </c>
      <c r="G12" s="21"/>
      <c r="H12" s="20">
        <f t="shared" si="2"/>
        <v>1325.97</v>
      </c>
      <c r="I12" s="19">
        <v>0</v>
      </c>
      <c r="J12" s="19">
        <v>1325.97</v>
      </c>
      <c r="K12" s="21"/>
      <c r="L12" s="20">
        <f t="shared" si="3"/>
        <v>2960</v>
      </c>
      <c r="M12" s="12">
        <v>4.75</v>
      </c>
      <c r="N12" s="20">
        <v>2955.25</v>
      </c>
    </row>
    <row r="13" spans="2:14" x14ac:dyDescent="0.3">
      <c r="B13" s="7" t="s">
        <v>17</v>
      </c>
      <c r="C13" s="12">
        <f t="shared" si="0"/>
        <v>7833.4870000000001</v>
      </c>
      <c r="D13" s="12">
        <f t="shared" si="1"/>
        <v>1419.4169999999997</v>
      </c>
      <c r="E13" s="12">
        <v>958.43199999999979</v>
      </c>
      <c r="F13" s="12">
        <v>460.98499999999996</v>
      </c>
      <c r="G13" s="21"/>
      <c r="H13" s="20">
        <f t="shared" si="2"/>
        <v>1713.64</v>
      </c>
      <c r="I13" s="19">
        <v>446.99</v>
      </c>
      <c r="J13" s="19">
        <v>1266.6500000000001</v>
      </c>
      <c r="K13" s="21"/>
      <c r="L13" s="20">
        <f t="shared" si="3"/>
        <v>4700.43</v>
      </c>
      <c r="M13" s="12">
        <v>176.24</v>
      </c>
      <c r="N13" s="20">
        <v>4524.1900000000005</v>
      </c>
    </row>
    <row r="14" spans="2:14" x14ac:dyDescent="0.3">
      <c r="B14" s="7" t="s">
        <v>18</v>
      </c>
      <c r="C14" s="12">
        <f t="shared" si="0"/>
        <v>7318.5470000000005</v>
      </c>
      <c r="D14" s="12">
        <f t="shared" si="1"/>
        <v>1343.5070000000001</v>
      </c>
      <c r="E14" s="12">
        <v>464.94700000000006</v>
      </c>
      <c r="F14" s="12">
        <v>878.56</v>
      </c>
      <c r="G14" s="21"/>
      <c r="H14" s="20">
        <f t="shared" si="2"/>
        <v>2136.2200000000003</v>
      </c>
      <c r="I14" s="19">
        <v>0</v>
      </c>
      <c r="J14" s="19">
        <v>2136.2200000000003</v>
      </c>
      <c r="K14" s="21"/>
      <c r="L14" s="20">
        <f t="shared" si="3"/>
        <v>3838.82</v>
      </c>
      <c r="M14" s="12">
        <v>12.9</v>
      </c>
      <c r="N14" s="20">
        <v>3825.92</v>
      </c>
    </row>
    <row r="15" spans="2:14" x14ac:dyDescent="0.3">
      <c r="B15" s="7" t="s">
        <v>19</v>
      </c>
      <c r="C15" s="12">
        <f t="shared" si="0"/>
        <v>9284.753999999999</v>
      </c>
      <c r="D15" s="12">
        <f t="shared" si="1"/>
        <v>1588.4639999999997</v>
      </c>
      <c r="E15" s="12">
        <v>733.79399999999987</v>
      </c>
      <c r="F15" s="12">
        <v>854.66999999999985</v>
      </c>
      <c r="G15" s="21"/>
      <c r="H15" s="12">
        <f t="shared" si="2"/>
        <v>910.89</v>
      </c>
      <c r="I15" s="19">
        <v>0</v>
      </c>
      <c r="J15" s="19">
        <v>910.89</v>
      </c>
      <c r="K15" s="21"/>
      <c r="L15" s="20">
        <f t="shared" si="3"/>
        <v>6785.4</v>
      </c>
      <c r="M15" s="12">
        <v>12.82</v>
      </c>
      <c r="N15" s="20">
        <v>6772.58</v>
      </c>
    </row>
    <row r="16" spans="2:14" x14ac:dyDescent="0.3">
      <c r="B16" s="7" t="s">
        <v>20</v>
      </c>
      <c r="C16" s="12">
        <f t="shared" si="0"/>
        <v>64.935000000000002</v>
      </c>
      <c r="D16" s="12">
        <f t="shared" si="1"/>
        <v>13.094999999999999</v>
      </c>
      <c r="E16" s="12">
        <v>13.094999999999999</v>
      </c>
      <c r="F16" s="12">
        <v>0</v>
      </c>
      <c r="G16" s="21"/>
      <c r="H16" s="12">
        <f t="shared" si="2"/>
        <v>51.84</v>
      </c>
      <c r="I16" s="19">
        <v>51.84</v>
      </c>
      <c r="J16" s="19">
        <v>0</v>
      </c>
      <c r="K16" s="21"/>
      <c r="L16" s="12">
        <f t="shared" si="3"/>
        <v>0</v>
      </c>
      <c r="M16" s="12">
        <v>0</v>
      </c>
      <c r="N16" s="12">
        <v>0</v>
      </c>
    </row>
    <row r="17" spans="2:14" x14ac:dyDescent="0.3">
      <c r="B17" s="7" t="s">
        <v>21</v>
      </c>
      <c r="C17" s="12">
        <f t="shared" si="0"/>
        <v>11808.506999999998</v>
      </c>
      <c r="D17" s="12">
        <f t="shared" si="1"/>
        <v>1821.4769999999994</v>
      </c>
      <c r="E17" s="12">
        <v>797.85899999999958</v>
      </c>
      <c r="F17" s="12">
        <v>1023.6179999999999</v>
      </c>
      <c r="G17" s="21"/>
      <c r="H17" s="20">
        <f t="shared" si="2"/>
        <v>2609.2299999999996</v>
      </c>
      <c r="I17" s="19">
        <v>84.16</v>
      </c>
      <c r="J17" s="19">
        <v>2525.0699999999997</v>
      </c>
      <c r="K17" s="21"/>
      <c r="L17" s="20">
        <f t="shared" si="3"/>
        <v>7377.8</v>
      </c>
      <c r="M17" s="12">
        <v>35.39</v>
      </c>
      <c r="N17" s="20">
        <v>7342.41</v>
      </c>
    </row>
    <row r="18" spans="2:14" x14ac:dyDescent="0.3">
      <c r="B18" s="7" t="s">
        <v>22</v>
      </c>
      <c r="C18" s="12">
        <f t="shared" si="0"/>
        <v>7409.7530000000006</v>
      </c>
      <c r="D18" s="12">
        <f t="shared" si="1"/>
        <v>1227.8630000000001</v>
      </c>
      <c r="E18" s="12">
        <v>480.71100000000001</v>
      </c>
      <c r="F18" s="12">
        <v>747.15200000000004</v>
      </c>
      <c r="G18" s="21"/>
      <c r="H18" s="20">
        <f t="shared" si="2"/>
        <v>1563</v>
      </c>
      <c r="I18" s="19">
        <v>0</v>
      </c>
      <c r="J18" s="19">
        <v>1563</v>
      </c>
      <c r="K18" s="21"/>
      <c r="L18" s="20">
        <f t="shared" si="3"/>
        <v>4618.8900000000003</v>
      </c>
      <c r="M18" s="12">
        <v>0</v>
      </c>
      <c r="N18" s="20">
        <v>4618.8900000000003</v>
      </c>
    </row>
    <row r="19" spans="2:14" x14ac:dyDescent="0.3">
      <c r="B19" s="7" t="s">
        <v>23</v>
      </c>
      <c r="C19" s="12">
        <f t="shared" si="0"/>
        <v>4552.2090000000007</v>
      </c>
      <c r="D19" s="12">
        <f t="shared" si="1"/>
        <v>786.3889999999999</v>
      </c>
      <c r="E19" s="12">
        <v>439.49899999999997</v>
      </c>
      <c r="F19" s="12">
        <v>346.89</v>
      </c>
      <c r="G19" s="21"/>
      <c r="H19" s="12">
        <f t="shared" si="2"/>
        <v>691.81000000000006</v>
      </c>
      <c r="I19" s="19">
        <v>9.9600000000000009</v>
      </c>
      <c r="J19" s="19">
        <v>681.85</v>
      </c>
      <c r="K19" s="21"/>
      <c r="L19" s="20">
        <f t="shared" si="3"/>
        <v>3074.01</v>
      </c>
      <c r="M19" s="12">
        <v>20.62</v>
      </c>
      <c r="N19" s="20">
        <v>3053.3900000000003</v>
      </c>
    </row>
    <row r="20" spans="2:14" x14ac:dyDescent="0.3">
      <c r="B20" s="7" t="s">
        <v>24</v>
      </c>
      <c r="C20" s="12">
        <f t="shared" si="0"/>
        <v>3395.9690000000001</v>
      </c>
      <c r="D20" s="12">
        <f t="shared" si="1"/>
        <v>624.46899999999971</v>
      </c>
      <c r="E20" s="12">
        <v>553.66099999999972</v>
      </c>
      <c r="F20" s="12">
        <v>70.807999999999993</v>
      </c>
      <c r="G20" s="21"/>
      <c r="H20" s="12">
        <f t="shared" si="2"/>
        <v>761.18999999999994</v>
      </c>
      <c r="I20" s="19">
        <v>18.57</v>
      </c>
      <c r="J20" s="19">
        <v>742.61999999999989</v>
      </c>
      <c r="K20" s="21"/>
      <c r="L20" s="20">
        <f t="shared" si="3"/>
        <v>2010.3100000000002</v>
      </c>
      <c r="M20" s="12">
        <v>80.94</v>
      </c>
      <c r="N20" s="20">
        <v>1929.3700000000001</v>
      </c>
    </row>
    <row r="21" spans="2:14" x14ac:dyDescent="0.3">
      <c r="B21" s="7" t="s">
        <v>25</v>
      </c>
      <c r="C21" s="12">
        <f t="shared" si="0"/>
        <v>7056.1759999999995</v>
      </c>
      <c r="D21" s="12">
        <f t="shared" si="1"/>
        <v>1231.7959999999998</v>
      </c>
      <c r="E21" s="12">
        <v>924.9309999999997</v>
      </c>
      <c r="F21" s="12">
        <v>306.86500000000001</v>
      </c>
      <c r="G21" s="21"/>
      <c r="H21" s="12">
        <f t="shared" si="2"/>
        <v>882.09</v>
      </c>
      <c r="I21" s="19">
        <v>14.58</v>
      </c>
      <c r="J21" s="19">
        <v>867.51</v>
      </c>
      <c r="K21" s="21"/>
      <c r="L21" s="20">
        <f t="shared" si="3"/>
        <v>4942.29</v>
      </c>
      <c r="M21" s="12">
        <v>195.73</v>
      </c>
      <c r="N21" s="20">
        <v>4746.5600000000004</v>
      </c>
    </row>
    <row r="22" spans="2:14" x14ac:dyDescent="0.3">
      <c r="B22" s="7" t="s">
        <v>26</v>
      </c>
      <c r="C22" s="12">
        <f t="shared" si="0"/>
        <v>7495.4079999999994</v>
      </c>
      <c r="D22" s="12">
        <f t="shared" si="1"/>
        <v>1243.9579999999999</v>
      </c>
      <c r="E22" s="12">
        <v>524.37400000000002</v>
      </c>
      <c r="F22" s="12">
        <v>719.58399999999983</v>
      </c>
      <c r="G22" s="21"/>
      <c r="H22" s="20">
        <f t="shared" si="2"/>
        <v>1757.24</v>
      </c>
      <c r="I22" s="19">
        <v>129.06</v>
      </c>
      <c r="J22" s="19">
        <v>1628.18</v>
      </c>
      <c r="K22" s="21"/>
      <c r="L22" s="20">
        <f t="shared" si="3"/>
        <v>4494.2099999999991</v>
      </c>
      <c r="M22" s="12">
        <v>164.44</v>
      </c>
      <c r="N22" s="20">
        <v>4329.7699999999995</v>
      </c>
    </row>
    <row r="23" spans="2:14" x14ac:dyDescent="0.3">
      <c r="B23" s="7" t="s">
        <v>27</v>
      </c>
      <c r="C23" s="12">
        <f t="shared" si="0"/>
        <v>3099.1949999999997</v>
      </c>
      <c r="D23" s="12">
        <f t="shared" si="1"/>
        <v>467.625</v>
      </c>
      <c r="E23" s="12">
        <v>403.77</v>
      </c>
      <c r="F23" s="12">
        <v>63.855000000000011</v>
      </c>
      <c r="G23" s="21"/>
      <c r="H23" s="12">
        <f t="shared" si="2"/>
        <v>619.58000000000004</v>
      </c>
      <c r="I23" s="19">
        <v>176.21</v>
      </c>
      <c r="J23" s="19">
        <v>443.37</v>
      </c>
      <c r="K23" s="21"/>
      <c r="L23" s="20">
        <f t="shared" si="3"/>
        <v>2011.99</v>
      </c>
      <c r="M23" s="12">
        <v>27.55</v>
      </c>
      <c r="N23" s="20">
        <v>1984.44</v>
      </c>
    </row>
    <row r="24" spans="2:14" x14ac:dyDescent="0.3">
      <c r="B24" s="7" t="s">
        <v>28</v>
      </c>
      <c r="C24" s="12">
        <f t="shared" si="0"/>
        <v>7496.8169999999991</v>
      </c>
      <c r="D24" s="12">
        <f t="shared" si="1"/>
        <v>1431.1969999999994</v>
      </c>
      <c r="E24" s="12">
        <v>1030.2579999999996</v>
      </c>
      <c r="F24" s="12">
        <v>400.93899999999991</v>
      </c>
      <c r="G24" s="21"/>
      <c r="H24" s="20">
        <f t="shared" si="2"/>
        <v>1823.36</v>
      </c>
      <c r="I24" s="19">
        <v>124.7</v>
      </c>
      <c r="J24" s="19">
        <v>1698.6599999999999</v>
      </c>
      <c r="K24" s="21"/>
      <c r="L24" s="12">
        <f t="shared" si="3"/>
        <v>4242.26</v>
      </c>
      <c r="M24" s="12">
        <v>180.53</v>
      </c>
      <c r="N24" s="12">
        <v>4061.73</v>
      </c>
    </row>
    <row r="25" spans="2:14" x14ac:dyDescent="0.3">
      <c r="B25" s="7" t="s">
        <v>29</v>
      </c>
      <c r="C25" s="12">
        <f t="shared" si="0"/>
        <v>953.93399999999997</v>
      </c>
      <c r="D25" s="12">
        <f t="shared" si="1"/>
        <v>87.884000000000015</v>
      </c>
      <c r="E25" s="12">
        <v>43.085000000000008</v>
      </c>
      <c r="F25" s="12">
        <v>44.798999999999999</v>
      </c>
      <c r="G25" s="21"/>
      <c r="H25" s="12">
        <f t="shared" si="2"/>
        <v>457.54</v>
      </c>
      <c r="I25" s="19">
        <v>108.56</v>
      </c>
      <c r="J25" s="19">
        <v>348.98</v>
      </c>
      <c r="K25" s="21"/>
      <c r="L25" s="12">
        <f t="shared" si="3"/>
        <v>408.51000000000005</v>
      </c>
      <c r="M25" s="12">
        <v>11.3</v>
      </c>
      <c r="N25" s="12">
        <v>397.21000000000004</v>
      </c>
    </row>
    <row r="26" spans="2:14" x14ac:dyDescent="0.3">
      <c r="B26" s="7" t="s">
        <v>30</v>
      </c>
      <c r="C26" s="12">
        <f t="shared" si="0"/>
        <v>1994.9059999999999</v>
      </c>
      <c r="D26" s="12">
        <f t="shared" si="1"/>
        <v>399.27600000000001</v>
      </c>
      <c r="E26" s="12">
        <v>397.84500000000003</v>
      </c>
      <c r="F26" s="12">
        <v>1.431</v>
      </c>
      <c r="G26" s="21"/>
      <c r="H26" s="12">
        <f t="shared" si="2"/>
        <v>179.63</v>
      </c>
      <c r="I26" s="19">
        <v>2.4900000000000002</v>
      </c>
      <c r="J26" s="19">
        <v>177.14</v>
      </c>
      <c r="K26" s="21"/>
      <c r="L26" s="20">
        <f t="shared" si="3"/>
        <v>1416</v>
      </c>
      <c r="M26" s="12">
        <v>5.07</v>
      </c>
      <c r="N26" s="20">
        <v>1410.93</v>
      </c>
    </row>
    <row r="27" spans="2:14" x14ac:dyDescent="0.3">
      <c r="B27" s="7" t="s">
        <v>31</v>
      </c>
      <c r="C27" s="12">
        <f t="shared" si="0"/>
        <v>2634.1170000000002</v>
      </c>
      <c r="D27" s="12">
        <f t="shared" si="1"/>
        <v>475.75700000000006</v>
      </c>
      <c r="E27" s="12">
        <v>440.75300000000004</v>
      </c>
      <c r="F27" s="12">
        <v>35.003999999999998</v>
      </c>
      <c r="G27" s="21"/>
      <c r="H27" s="12">
        <f t="shared" si="2"/>
        <v>911.44</v>
      </c>
      <c r="I27" s="19">
        <v>38.130000000000003</v>
      </c>
      <c r="J27" s="19">
        <v>873.31000000000006</v>
      </c>
      <c r="K27" s="21"/>
      <c r="L27" s="20">
        <f t="shared" si="3"/>
        <v>1246.92</v>
      </c>
      <c r="M27" s="12">
        <v>98.19</v>
      </c>
      <c r="N27" s="20">
        <v>1148.73</v>
      </c>
    </row>
    <row r="28" spans="2:14" x14ac:dyDescent="0.3">
      <c r="B28" s="7" t="s">
        <v>32</v>
      </c>
      <c r="C28" s="12">
        <f t="shared" si="0"/>
        <v>3038.2960000000003</v>
      </c>
      <c r="D28" s="12">
        <f t="shared" si="1"/>
        <v>564.8660000000001</v>
      </c>
      <c r="E28" s="12">
        <v>253.46400000000006</v>
      </c>
      <c r="F28" s="12">
        <v>311.40200000000004</v>
      </c>
      <c r="G28" s="21"/>
      <c r="H28" s="12">
        <f t="shared" si="2"/>
        <v>622.45000000000005</v>
      </c>
      <c r="I28" s="19">
        <v>79.430000000000007</v>
      </c>
      <c r="J28" s="19">
        <v>543.02</v>
      </c>
      <c r="K28" s="21"/>
      <c r="L28" s="20">
        <f t="shared" si="3"/>
        <v>1850.98</v>
      </c>
      <c r="M28" s="12">
        <v>0</v>
      </c>
      <c r="N28" s="20">
        <v>1850.98</v>
      </c>
    </row>
    <row r="29" spans="2:14" x14ac:dyDescent="0.3">
      <c r="B29" s="7" t="s">
        <v>34</v>
      </c>
      <c r="C29" s="12">
        <f t="shared" si="0"/>
        <v>5983.3449999999993</v>
      </c>
      <c r="D29" s="12">
        <f t="shared" si="1"/>
        <v>1374.2949999999998</v>
      </c>
      <c r="E29" s="12">
        <v>969.03199999999981</v>
      </c>
      <c r="F29" s="12">
        <v>405.26299999999998</v>
      </c>
      <c r="G29" s="21"/>
      <c r="H29" s="12">
        <f t="shared" si="2"/>
        <v>796.09999999999991</v>
      </c>
      <c r="I29" s="19">
        <v>260.32</v>
      </c>
      <c r="J29" s="19">
        <v>535.78</v>
      </c>
      <c r="K29" s="21"/>
      <c r="L29" s="20">
        <f t="shared" si="3"/>
        <v>3812.95</v>
      </c>
      <c r="M29" s="12">
        <v>185.31</v>
      </c>
      <c r="N29" s="20">
        <v>3627.64</v>
      </c>
    </row>
    <row r="30" spans="2:14" x14ac:dyDescent="0.3">
      <c r="B30" s="7" t="s">
        <v>35</v>
      </c>
      <c r="C30" s="12">
        <f t="shared" si="0"/>
        <v>9980.1610000000001</v>
      </c>
      <c r="D30" s="12">
        <f t="shared" si="1"/>
        <v>1828.0510000000011</v>
      </c>
      <c r="E30" s="12">
        <v>1293.3880000000011</v>
      </c>
      <c r="F30" s="12">
        <v>534.66300000000001</v>
      </c>
      <c r="G30" s="21"/>
      <c r="H30" s="20">
        <f t="shared" si="2"/>
        <v>1864.0400000000002</v>
      </c>
      <c r="I30" s="19">
        <v>93.32</v>
      </c>
      <c r="J30" s="19">
        <v>1770.7200000000003</v>
      </c>
      <c r="K30" s="21"/>
      <c r="L30" s="20">
        <f t="shared" si="3"/>
        <v>6288.07</v>
      </c>
      <c r="M30" s="12">
        <v>23.16</v>
      </c>
      <c r="N30" s="20">
        <v>6264.91</v>
      </c>
    </row>
    <row r="31" spans="2:14" x14ac:dyDescent="0.3">
      <c r="B31" s="7" t="s">
        <v>36</v>
      </c>
      <c r="C31" s="12">
        <f t="shared" si="0"/>
        <v>4715.38</v>
      </c>
      <c r="D31" s="12">
        <f t="shared" si="1"/>
        <v>848.07999999999981</v>
      </c>
      <c r="E31" s="12">
        <v>531.86799999999982</v>
      </c>
      <c r="F31" s="12">
        <v>316.21199999999999</v>
      </c>
      <c r="G31" s="21"/>
      <c r="H31" s="12">
        <f t="shared" si="2"/>
        <v>617.22</v>
      </c>
      <c r="I31" s="19">
        <v>58.83</v>
      </c>
      <c r="J31" s="19">
        <v>558.39</v>
      </c>
      <c r="K31" s="21"/>
      <c r="L31" s="20">
        <f t="shared" si="3"/>
        <v>3250.0800000000004</v>
      </c>
      <c r="M31" s="12">
        <v>14.82</v>
      </c>
      <c r="N31" s="20">
        <v>3235.26</v>
      </c>
    </row>
    <row r="32" spans="2:14" x14ac:dyDescent="0.3">
      <c r="B32" s="7" t="s">
        <v>37</v>
      </c>
      <c r="C32" s="12">
        <f t="shared" si="0"/>
        <v>2547.8680000000004</v>
      </c>
      <c r="D32" s="12">
        <f t="shared" si="1"/>
        <v>632.58800000000019</v>
      </c>
      <c r="E32" s="12">
        <v>454.68000000000023</v>
      </c>
      <c r="F32" s="12">
        <v>177.90800000000002</v>
      </c>
      <c r="G32" s="21"/>
      <c r="H32" s="12">
        <f t="shared" si="2"/>
        <v>529.30999999999995</v>
      </c>
      <c r="I32" s="19">
        <v>81.19</v>
      </c>
      <c r="J32" s="19">
        <v>448.11999999999995</v>
      </c>
      <c r="K32" s="21"/>
      <c r="L32" s="12">
        <f t="shared" si="3"/>
        <v>1385.97</v>
      </c>
      <c r="M32" s="12">
        <v>151.55000000000001</v>
      </c>
      <c r="N32" s="12">
        <v>1234.42</v>
      </c>
    </row>
    <row r="33" spans="2:14" x14ac:dyDescent="0.3">
      <c r="B33" s="7" t="s">
        <v>38</v>
      </c>
      <c r="C33" s="12">
        <f t="shared" si="0"/>
        <v>911.27599999999995</v>
      </c>
      <c r="D33" s="12">
        <f t="shared" si="1"/>
        <v>138.14599999999999</v>
      </c>
      <c r="E33" s="12">
        <v>138.14599999999999</v>
      </c>
      <c r="F33" s="12">
        <v>0</v>
      </c>
      <c r="G33" s="22"/>
      <c r="H33" s="12">
        <f t="shared" si="2"/>
        <v>304.72000000000003</v>
      </c>
      <c r="I33" s="19">
        <v>84.03</v>
      </c>
      <c r="J33" s="19">
        <v>220.69</v>
      </c>
      <c r="K33" s="22"/>
      <c r="L33" s="12">
        <f t="shared" si="3"/>
        <v>468.40999999999997</v>
      </c>
      <c r="M33" s="12">
        <v>5.95</v>
      </c>
      <c r="N33" s="12">
        <v>462.46</v>
      </c>
    </row>
    <row r="34" spans="2:14" ht="17.25" thickBot="1" x14ac:dyDescent="0.35">
      <c r="B34" s="13" t="s">
        <v>39</v>
      </c>
      <c r="C34" s="23">
        <f>SUM(D34:E34)</f>
        <v>433.98</v>
      </c>
      <c r="D34" s="23">
        <f t="shared" si="1"/>
        <v>221.61200000000002</v>
      </c>
      <c r="E34" s="23">
        <v>212.36800000000002</v>
      </c>
      <c r="F34" s="23">
        <v>9.2439999999999998</v>
      </c>
      <c r="G34" s="24"/>
      <c r="H34" s="23">
        <f t="shared" si="2"/>
        <v>335.03000000000003</v>
      </c>
      <c r="I34" s="25">
        <v>0.19</v>
      </c>
      <c r="J34" s="25">
        <v>334.84000000000003</v>
      </c>
      <c r="K34" s="24"/>
      <c r="L34" s="26">
        <f t="shared" si="3"/>
        <v>1270.8700000000001</v>
      </c>
      <c r="M34" s="23">
        <v>9.1999999999999993</v>
      </c>
      <c r="N34" s="26">
        <v>1261.67</v>
      </c>
    </row>
    <row r="35" spans="2:14" ht="10.5" customHeight="1" x14ac:dyDescent="0.3">
      <c r="C35" s="2"/>
      <c r="D35" s="2"/>
      <c r="E35" s="2"/>
      <c r="F35" s="2"/>
      <c r="G35" s="2"/>
      <c r="H35" s="2"/>
      <c r="I35" s="2"/>
      <c r="J35" s="2"/>
      <c r="K35" s="2"/>
      <c r="L35" s="2"/>
      <c r="M35" s="2"/>
      <c r="N35" s="27"/>
    </row>
    <row r="36" spans="2:14" x14ac:dyDescent="0.3">
      <c r="B36" s="44" t="s">
        <v>40</v>
      </c>
      <c r="C36" s="44"/>
      <c r="D36" s="44"/>
      <c r="E36" s="44"/>
      <c r="F36" s="44"/>
      <c r="G36" s="44"/>
      <c r="H36" s="44"/>
      <c r="I36" s="44"/>
      <c r="J36" s="44"/>
      <c r="K36" s="44"/>
      <c r="L36" s="44"/>
      <c r="M36" s="44"/>
      <c r="N36" s="44"/>
    </row>
    <row r="37" spans="2:14" ht="31.5" customHeight="1" x14ac:dyDescent="0.3">
      <c r="B37" s="155" t="s">
        <v>41</v>
      </c>
      <c r="C37" s="155"/>
      <c r="D37" s="155"/>
      <c r="E37" s="155"/>
      <c r="F37" s="155"/>
      <c r="G37" s="155"/>
      <c r="H37" s="155"/>
      <c r="I37" s="155"/>
      <c r="J37" s="155"/>
      <c r="K37" s="155"/>
      <c r="L37" s="155"/>
      <c r="M37" s="155"/>
      <c r="N37" s="155"/>
    </row>
    <row r="38" spans="2:14" x14ac:dyDescent="0.3">
      <c r="B38" s="15" t="s">
        <v>42</v>
      </c>
      <c r="C38" s="44"/>
      <c r="D38" s="44"/>
      <c r="E38" s="44"/>
      <c r="F38" s="44"/>
      <c r="G38" s="44"/>
      <c r="H38" s="44"/>
      <c r="I38" s="44"/>
      <c r="J38" s="44"/>
      <c r="K38" s="44"/>
      <c r="L38" s="44"/>
      <c r="M38" s="44"/>
      <c r="N38" s="44"/>
    </row>
    <row r="39" spans="2:14" x14ac:dyDescent="0.3">
      <c r="B39" s="16" t="s">
        <v>43</v>
      </c>
      <c r="C39" s="44"/>
      <c r="D39" s="44"/>
      <c r="E39" s="44"/>
      <c r="F39" s="44"/>
      <c r="G39" s="44"/>
      <c r="H39" s="44"/>
      <c r="I39" s="44"/>
      <c r="J39" s="44"/>
      <c r="K39" s="44"/>
      <c r="L39" s="44"/>
      <c r="M39" s="44"/>
      <c r="N39" s="44"/>
    </row>
    <row r="40" spans="2:14" x14ac:dyDescent="0.3">
      <c r="B40" s="44"/>
      <c r="C40" s="44"/>
      <c r="D40" s="44"/>
      <c r="E40" s="44"/>
      <c r="F40" s="44"/>
      <c r="G40" s="44"/>
      <c r="H40" s="44"/>
      <c r="I40" s="44"/>
      <c r="J40" s="44"/>
      <c r="K40" s="44"/>
      <c r="L40" s="44"/>
      <c r="M40" s="44"/>
      <c r="N40" s="44"/>
    </row>
    <row r="42" spans="2:14" x14ac:dyDescent="0.3">
      <c r="L42" s="1" t="s">
        <v>115</v>
      </c>
    </row>
  </sheetData>
  <mergeCells count="10">
    <mergeCell ref="B37:N37"/>
    <mergeCell ref="B2:N2"/>
    <mergeCell ref="B3:N3"/>
    <mergeCell ref="B4:N4"/>
    <mergeCell ref="B6:N6"/>
    <mergeCell ref="B7:B8"/>
    <mergeCell ref="C7:C8"/>
    <mergeCell ref="D7:F7"/>
    <mergeCell ref="H7:J7"/>
    <mergeCell ref="L7:N7"/>
  </mergeCells>
  <conditionalFormatting sqref="E10:E15">
    <cfRule type="cellIs" dxfId="0" priority="1" operator="lessThan">
      <formula>300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78"/>
  <sheetViews>
    <sheetView showGridLines="0" topLeftCell="A18" zoomScale="80" zoomScaleNormal="80" workbookViewId="0">
      <selection activeCell="G80" sqref="G80"/>
    </sheetView>
  </sheetViews>
  <sheetFormatPr baseColWidth="10" defaultColWidth="11.42578125" defaultRowHeight="12.75" x14ac:dyDescent="0.25"/>
  <cols>
    <col min="1" max="1" width="9" style="2" customWidth="1"/>
    <col min="2" max="2" width="17.42578125" style="2" customWidth="1"/>
    <col min="3" max="3" width="15.28515625" style="2" bestFit="1" customWidth="1"/>
    <col min="4" max="4" width="13.7109375" style="2" customWidth="1"/>
    <col min="5" max="5" width="17" style="2" customWidth="1"/>
    <col min="6" max="6" width="21.28515625" style="2" customWidth="1"/>
    <col min="7" max="7" width="2.7109375" style="2" customWidth="1"/>
    <col min="8" max="9" width="13.7109375" style="2" customWidth="1"/>
    <col min="10" max="10" width="17" style="2" customWidth="1"/>
    <col min="11" max="11" width="2.7109375" style="2" customWidth="1"/>
    <col min="12" max="13" width="13.7109375" style="2" customWidth="1"/>
    <col min="14" max="14" width="17.28515625" style="2" bestFit="1" customWidth="1"/>
    <col min="15" max="16384" width="11.42578125" style="2"/>
  </cols>
  <sheetData>
    <row r="2" spans="2:15" ht="16.5" x14ac:dyDescent="0.25">
      <c r="B2" s="156"/>
      <c r="C2" s="156"/>
      <c r="D2" s="156"/>
      <c r="E2" s="156"/>
      <c r="F2" s="156"/>
      <c r="G2" s="156"/>
      <c r="H2" s="156"/>
      <c r="I2" s="156"/>
      <c r="J2" s="156"/>
      <c r="K2" s="156"/>
      <c r="L2" s="156"/>
      <c r="M2" s="156"/>
      <c r="N2" s="156"/>
    </row>
    <row r="3" spans="2:15" ht="29.25" customHeight="1" x14ac:dyDescent="0.25">
      <c r="B3" s="145" t="s">
        <v>136</v>
      </c>
      <c r="C3" s="145"/>
      <c r="D3" s="145"/>
      <c r="E3" s="145"/>
      <c r="F3" s="145"/>
      <c r="G3" s="145"/>
      <c r="H3" s="145"/>
      <c r="I3" s="145"/>
      <c r="J3" s="145"/>
      <c r="K3" s="145"/>
      <c r="L3" s="145"/>
      <c r="M3" s="145"/>
      <c r="N3" s="145"/>
    </row>
    <row r="4" spans="2:15" x14ac:dyDescent="0.25">
      <c r="B4" s="146" t="s">
        <v>122</v>
      </c>
      <c r="C4" s="146"/>
      <c r="D4" s="146"/>
      <c r="E4" s="146"/>
      <c r="F4" s="146"/>
      <c r="G4" s="146"/>
      <c r="H4" s="146"/>
      <c r="I4" s="146"/>
      <c r="J4" s="146"/>
      <c r="K4" s="146"/>
      <c r="L4" s="146"/>
      <c r="M4" s="146"/>
      <c r="N4" s="146"/>
    </row>
    <row r="6" spans="2:15" ht="12" customHeight="1" thickBot="1" x14ac:dyDescent="0.3">
      <c r="B6" s="158" t="s">
        <v>2</v>
      </c>
      <c r="C6" s="158"/>
      <c r="D6" s="158"/>
      <c r="E6" s="158"/>
      <c r="F6" s="158"/>
      <c r="G6" s="158"/>
      <c r="H6" s="158"/>
      <c r="I6" s="158"/>
      <c r="J6" s="158"/>
      <c r="K6" s="158"/>
      <c r="L6" s="158"/>
      <c r="M6" s="158"/>
      <c r="N6" s="158"/>
      <c r="O6" s="158"/>
    </row>
    <row r="7" spans="2:15" ht="15.95" customHeight="1" x14ac:dyDescent="0.25">
      <c r="B7" s="147" t="s">
        <v>3</v>
      </c>
      <c r="C7" s="149" t="s">
        <v>47</v>
      </c>
      <c r="D7" s="147" t="s">
        <v>5</v>
      </c>
      <c r="E7" s="147"/>
      <c r="F7" s="147"/>
      <c r="G7" s="3"/>
      <c r="H7" s="147" t="s">
        <v>6</v>
      </c>
      <c r="I7" s="147"/>
      <c r="J7" s="147"/>
      <c r="K7" s="3"/>
      <c r="L7" s="147" t="s">
        <v>7</v>
      </c>
      <c r="M7" s="147"/>
      <c r="N7" s="147"/>
    </row>
    <row r="8" spans="2:15" ht="27.75" customHeight="1" thickBot="1" x14ac:dyDescent="0.3">
      <c r="B8" s="148"/>
      <c r="C8" s="150"/>
      <c r="D8" s="4" t="s">
        <v>8</v>
      </c>
      <c r="E8" s="4" t="s">
        <v>9</v>
      </c>
      <c r="F8" s="4" t="s">
        <v>48</v>
      </c>
      <c r="G8" s="5"/>
      <c r="H8" s="4" t="s">
        <v>11</v>
      </c>
      <c r="I8" s="4" t="s">
        <v>12</v>
      </c>
      <c r="J8" s="4" t="s">
        <v>10</v>
      </c>
      <c r="K8" s="28"/>
      <c r="L8" s="4" t="s">
        <v>11</v>
      </c>
      <c r="M8" s="4" t="s">
        <v>12</v>
      </c>
      <c r="N8" s="4" t="s">
        <v>10</v>
      </c>
    </row>
    <row r="9" spans="2:15" ht="18" customHeight="1" x14ac:dyDescent="0.25">
      <c r="B9" s="7" t="s">
        <v>13</v>
      </c>
      <c r="C9" s="29">
        <v>130648.34000000001</v>
      </c>
      <c r="D9" s="30">
        <v>24092.289999999994</v>
      </c>
      <c r="E9" s="30">
        <v>14122.790000000003</v>
      </c>
      <c r="F9" s="30">
        <v>9969.5</v>
      </c>
      <c r="G9" s="31"/>
      <c r="H9" s="30">
        <v>25171.039999999997</v>
      </c>
      <c r="I9" s="30">
        <v>2127.8500000000004</v>
      </c>
      <c r="J9" s="30">
        <v>23043.19</v>
      </c>
      <c r="K9" s="31"/>
      <c r="L9" s="30">
        <v>81385.010000000009</v>
      </c>
      <c r="M9" s="30">
        <v>1509.0700000000004</v>
      </c>
      <c r="N9" s="30">
        <v>79875.94</v>
      </c>
      <c r="O9" s="21"/>
    </row>
    <row r="10" spans="2:15" s="37" customFormat="1" ht="13.5" customHeight="1" x14ac:dyDescent="0.25">
      <c r="B10" s="32" t="s">
        <v>14</v>
      </c>
      <c r="C10" s="12">
        <v>2863.1749999999997</v>
      </c>
      <c r="D10" s="33">
        <v>851.06500000000005</v>
      </c>
      <c r="E10" s="33">
        <v>353.47500000000002</v>
      </c>
      <c r="F10" s="33">
        <v>497.59</v>
      </c>
      <c r="G10" s="34"/>
      <c r="H10" s="33">
        <v>623.92999999999995</v>
      </c>
      <c r="I10" s="33">
        <v>12.08</v>
      </c>
      <c r="J10" s="33">
        <v>611.84999999999991</v>
      </c>
      <c r="K10" s="35"/>
      <c r="L10" s="33">
        <v>1388.1799999999998</v>
      </c>
      <c r="M10" s="33">
        <v>0</v>
      </c>
      <c r="N10" s="33">
        <v>1388.1799999999998</v>
      </c>
      <c r="O10" s="36"/>
    </row>
    <row r="11" spans="2:15" s="37" customFormat="1" ht="13.5" x14ac:dyDescent="0.25">
      <c r="B11" s="38" t="s">
        <v>49</v>
      </c>
      <c r="C11" s="12">
        <v>9522.4499999999989</v>
      </c>
      <c r="D11" s="33">
        <v>1589.9099999999999</v>
      </c>
      <c r="E11" s="33">
        <v>927.28</v>
      </c>
      <c r="F11" s="33">
        <v>662.63</v>
      </c>
      <c r="G11" s="33"/>
      <c r="H11" s="33">
        <v>1513.5299999999997</v>
      </c>
      <c r="I11" s="33">
        <v>215.36</v>
      </c>
      <c r="J11" s="33">
        <v>1298.1699999999998</v>
      </c>
      <c r="K11" s="35"/>
      <c r="L11" s="33">
        <v>6419.0099999999993</v>
      </c>
      <c r="M11" s="33">
        <v>67.86</v>
      </c>
      <c r="N11" s="33">
        <v>6351.15</v>
      </c>
      <c r="O11" s="36"/>
    </row>
    <row r="12" spans="2:15" s="37" customFormat="1" ht="13.5" x14ac:dyDescent="0.25">
      <c r="B12" s="38" t="s">
        <v>16</v>
      </c>
      <c r="C12" s="12">
        <v>6030.9449999999997</v>
      </c>
      <c r="D12" s="33">
        <v>1108.5550000000001</v>
      </c>
      <c r="E12" s="33">
        <v>445.98500000000001</v>
      </c>
      <c r="F12" s="33">
        <v>662.57</v>
      </c>
      <c r="G12" s="33"/>
      <c r="H12" s="33">
        <v>1328.2</v>
      </c>
      <c r="I12" s="33">
        <v>0</v>
      </c>
      <c r="J12" s="33">
        <v>1328.2</v>
      </c>
      <c r="K12" s="35"/>
      <c r="L12" s="33">
        <v>3594.1899999999996</v>
      </c>
      <c r="M12" s="33">
        <v>4.75</v>
      </c>
      <c r="N12" s="33">
        <v>3589.4399999999996</v>
      </c>
      <c r="O12" s="36"/>
    </row>
    <row r="13" spans="2:15" s="37" customFormat="1" ht="13.5" x14ac:dyDescent="0.25">
      <c r="B13" s="38" t="s">
        <v>17</v>
      </c>
      <c r="C13" s="12">
        <v>7845.0550000000003</v>
      </c>
      <c r="D13" s="33">
        <v>1419.415</v>
      </c>
      <c r="E13" s="33">
        <v>958.43</v>
      </c>
      <c r="F13" s="33">
        <v>460.98500000000001</v>
      </c>
      <c r="G13" s="33"/>
      <c r="H13" s="33">
        <v>1715.67</v>
      </c>
      <c r="I13" s="33">
        <v>447.68</v>
      </c>
      <c r="J13" s="33">
        <v>1267.99</v>
      </c>
      <c r="K13" s="35"/>
      <c r="L13" s="33">
        <v>4709.97</v>
      </c>
      <c r="M13" s="33">
        <v>176.46</v>
      </c>
      <c r="N13" s="33">
        <v>4533.51</v>
      </c>
      <c r="O13" s="36"/>
    </row>
    <row r="14" spans="2:15" s="37" customFormat="1" ht="13.5" x14ac:dyDescent="0.25">
      <c r="B14" s="38" t="s">
        <v>18</v>
      </c>
      <c r="C14" s="12">
        <v>7423.5199999999995</v>
      </c>
      <c r="D14" s="33">
        <v>1725.0550000000001</v>
      </c>
      <c r="E14" s="33">
        <v>465.18</v>
      </c>
      <c r="F14" s="33">
        <v>1259.875</v>
      </c>
      <c r="G14" s="33"/>
      <c r="H14" s="33">
        <v>1816.5049999999999</v>
      </c>
      <c r="I14" s="33">
        <v>0</v>
      </c>
      <c r="J14" s="33">
        <v>1816.5049999999999</v>
      </c>
      <c r="K14" s="35"/>
      <c r="L14" s="33">
        <v>3881.9599999999996</v>
      </c>
      <c r="M14" s="33">
        <v>12.93</v>
      </c>
      <c r="N14" s="33">
        <v>3869.0299999999997</v>
      </c>
      <c r="O14" s="36"/>
    </row>
    <row r="15" spans="2:15" s="37" customFormat="1" ht="13.5" x14ac:dyDescent="0.25">
      <c r="B15" s="38" t="s">
        <v>19</v>
      </c>
      <c r="C15" s="12">
        <v>9286.98</v>
      </c>
      <c r="D15" s="33">
        <v>1588.47</v>
      </c>
      <c r="E15" s="33">
        <v>833.98</v>
      </c>
      <c r="F15" s="33">
        <v>754.49</v>
      </c>
      <c r="G15" s="33"/>
      <c r="H15" s="33">
        <v>911.37</v>
      </c>
      <c r="I15" s="33">
        <v>0</v>
      </c>
      <c r="J15" s="33">
        <v>911.37</v>
      </c>
      <c r="K15" s="35"/>
      <c r="L15" s="33">
        <v>6787.1399999999994</v>
      </c>
      <c r="M15" s="33">
        <v>12.82</v>
      </c>
      <c r="N15" s="33">
        <v>6774.32</v>
      </c>
      <c r="O15" s="36"/>
    </row>
    <row r="16" spans="2:15" s="37" customFormat="1" ht="13.5" x14ac:dyDescent="0.25">
      <c r="B16" s="38" t="s">
        <v>20</v>
      </c>
      <c r="C16" s="12">
        <v>65.12</v>
      </c>
      <c r="D16" s="33">
        <v>13.1</v>
      </c>
      <c r="E16" s="33">
        <v>13.1</v>
      </c>
      <c r="F16" s="33">
        <v>0</v>
      </c>
      <c r="G16" s="33"/>
      <c r="H16" s="33">
        <v>52.02</v>
      </c>
      <c r="I16" s="33">
        <v>52.02</v>
      </c>
      <c r="J16" s="33">
        <v>0</v>
      </c>
      <c r="K16" s="35"/>
      <c r="L16" s="33">
        <v>0</v>
      </c>
      <c r="M16" s="33">
        <v>0</v>
      </c>
      <c r="N16" s="33">
        <v>0</v>
      </c>
      <c r="O16" s="36"/>
    </row>
    <row r="17" spans="2:15" s="37" customFormat="1" ht="13.5" x14ac:dyDescent="0.25">
      <c r="B17" s="38" t="s">
        <v>21</v>
      </c>
      <c r="C17" s="12">
        <v>11980.715</v>
      </c>
      <c r="D17" s="33">
        <v>1821.48</v>
      </c>
      <c r="E17" s="33">
        <v>1007.12</v>
      </c>
      <c r="F17" s="33">
        <v>814.36</v>
      </c>
      <c r="G17" s="33"/>
      <c r="H17" s="33">
        <v>2674.1949999999997</v>
      </c>
      <c r="I17" s="33">
        <v>84.22</v>
      </c>
      <c r="J17" s="33">
        <v>2589.9749999999999</v>
      </c>
      <c r="K17" s="35"/>
      <c r="L17" s="33">
        <v>7485.04</v>
      </c>
      <c r="M17" s="33">
        <v>35.44</v>
      </c>
      <c r="N17" s="33">
        <v>7449.6</v>
      </c>
      <c r="O17" s="36"/>
    </row>
    <row r="18" spans="2:15" s="37" customFormat="1" ht="13.5" x14ac:dyDescent="0.25">
      <c r="B18" s="38" t="s">
        <v>22</v>
      </c>
      <c r="C18" s="12">
        <v>7509.2449999999999</v>
      </c>
      <c r="D18" s="33">
        <v>1442.7650000000001</v>
      </c>
      <c r="E18" s="33">
        <v>331.85500000000002</v>
      </c>
      <c r="F18" s="33">
        <v>1110.9100000000001</v>
      </c>
      <c r="G18" s="33"/>
      <c r="H18" s="33">
        <v>1408.57</v>
      </c>
      <c r="I18" s="33">
        <v>0</v>
      </c>
      <c r="J18" s="33">
        <v>1408.57</v>
      </c>
      <c r="K18" s="35"/>
      <c r="L18" s="33">
        <v>4657.91</v>
      </c>
      <c r="M18" s="33">
        <v>0</v>
      </c>
      <c r="N18" s="33">
        <v>4657.91</v>
      </c>
      <c r="O18" s="36"/>
    </row>
    <row r="19" spans="2:15" s="37" customFormat="1" ht="13.5" x14ac:dyDescent="0.25">
      <c r="B19" s="38" t="s">
        <v>23</v>
      </c>
      <c r="C19" s="12">
        <v>4788.83</v>
      </c>
      <c r="D19" s="33">
        <v>870.84</v>
      </c>
      <c r="E19" s="33">
        <v>553.34</v>
      </c>
      <c r="F19" s="33">
        <v>317.5</v>
      </c>
      <c r="G19" s="33"/>
      <c r="H19" s="33">
        <v>693.29</v>
      </c>
      <c r="I19" s="33">
        <v>9.98</v>
      </c>
      <c r="J19" s="33">
        <v>683.31</v>
      </c>
      <c r="K19" s="35"/>
      <c r="L19" s="33">
        <v>3224.7</v>
      </c>
      <c r="M19" s="33">
        <v>21.93</v>
      </c>
      <c r="N19" s="33">
        <v>3202.77</v>
      </c>
      <c r="O19" s="36"/>
    </row>
    <row r="20" spans="2:15" s="37" customFormat="1" ht="13.5" x14ac:dyDescent="0.25">
      <c r="B20" s="38" t="s">
        <v>24</v>
      </c>
      <c r="C20" s="12">
        <v>3416.2200000000003</v>
      </c>
      <c r="D20" s="33">
        <v>663.31000000000006</v>
      </c>
      <c r="E20" s="33">
        <v>571.61</v>
      </c>
      <c r="F20" s="33">
        <v>91.7</v>
      </c>
      <c r="G20" s="33"/>
      <c r="H20" s="33">
        <v>746.89</v>
      </c>
      <c r="I20" s="33">
        <v>18.59</v>
      </c>
      <c r="J20" s="33">
        <v>728.3</v>
      </c>
      <c r="K20" s="35"/>
      <c r="L20" s="33">
        <v>2006.02</v>
      </c>
      <c r="M20" s="33">
        <v>80.39</v>
      </c>
      <c r="N20" s="33">
        <v>1925.6299999999999</v>
      </c>
      <c r="O20" s="36"/>
    </row>
    <row r="21" spans="2:15" s="37" customFormat="1" ht="13.5" x14ac:dyDescent="0.25">
      <c r="B21" s="38" t="s">
        <v>25</v>
      </c>
      <c r="C21" s="12">
        <v>7053.6099999999988</v>
      </c>
      <c r="D21" s="33">
        <v>1206.69</v>
      </c>
      <c r="E21" s="33">
        <v>917.06</v>
      </c>
      <c r="F21" s="33">
        <v>289.63</v>
      </c>
      <c r="G21" s="33"/>
      <c r="H21" s="33">
        <v>896.96</v>
      </c>
      <c r="I21" s="33">
        <v>14.61</v>
      </c>
      <c r="J21" s="33">
        <v>882.35</v>
      </c>
      <c r="K21" s="35"/>
      <c r="L21" s="33">
        <v>4949.9599999999991</v>
      </c>
      <c r="M21" s="33">
        <v>195.20000000000002</v>
      </c>
      <c r="N21" s="33">
        <v>4754.7599999999993</v>
      </c>
      <c r="O21" s="36"/>
    </row>
    <row r="22" spans="2:15" s="37" customFormat="1" ht="13.5" x14ac:dyDescent="0.25">
      <c r="B22" s="38" t="s">
        <v>26</v>
      </c>
      <c r="C22" s="12">
        <v>7509.77</v>
      </c>
      <c r="D22" s="33">
        <v>1243.95</v>
      </c>
      <c r="E22" s="33">
        <v>524.37</v>
      </c>
      <c r="F22" s="33">
        <v>719.58</v>
      </c>
      <c r="G22" s="33"/>
      <c r="H22" s="33">
        <v>1759.5100000000002</v>
      </c>
      <c r="I22" s="33">
        <v>129.11000000000001</v>
      </c>
      <c r="J22" s="33">
        <v>1630.4</v>
      </c>
      <c r="K22" s="35"/>
      <c r="L22" s="33">
        <v>4506.3100000000004</v>
      </c>
      <c r="M22" s="33">
        <v>164.31</v>
      </c>
      <c r="N22" s="33">
        <v>4342</v>
      </c>
      <c r="O22" s="36"/>
    </row>
    <row r="23" spans="2:15" s="37" customFormat="1" ht="13.5" x14ac:dyDescent="0.25">
      <c r="B23" s="38" t="s">
        <v>27</v>
      </c>
      <c r="C23" s="12">
        <v>3097.79</v>
      </c>
      <c r="D23" s="33">
        <v>467.63</v>
      </c>
      <c r="E23" s="33">
        <v>410.48</v>
      </c>
      <c r="F23" s="33">
        <v>57.15</v>
      </c>
      <c r="G23" s="33"/>
      <c r="H23" s="33">
        <v>618.91000000000008</v>
      </c>
      <c r="I23" s="33">
        <v>175.93</v>
      </c>
      <c r="J23" s="33">
        <v>442.98</v>
      </c>
      <c r="K23" s="35"/>
      <c r="L23" s="33">
        <v>2011.25</v>
      </c>
      <c r="M23" s="33">
        <v>27.45</v>
      </c>
      <c r="N23" s="33">
        <v>1983.8</v>
      </c>
      <c r="O23" s="36"/>
    </row>
    <row r="24" spans="2:15" s="37" customFormat="1" ht="13.5" x14ac:dyDescent="0.25">
      <c r="B24" s="38" t="s">
        <v>28</v>
      </c>
      <c r="C24" s="12">
        <v>7516.7999999999993</v>
      </c>
      <c r="D24" s="33">
        <v>1450.43</v>
      </c>
      <c r="E24" s="33">
        <v>1054.02</v>
      </c>
      <c r="F24" s="33">
        <v>396.41</v>
      </c>
      <c r="G24" s="33"/>
      <c r="H24" s="33">
        <v>1816.2800000000002</v>
      </c>
      <c r="I24" s="33">
        <v>124.87</v>
      </c>
      <c r="J24" s="33">
        <v>1691.41</v>
      </c>
      <c r="K24" s="35"/>
      <c r="L24" s="33">
        <v>4250.0899999999992</v>
      </c>
      <c r="M24" s="33">
        <v>180.84</v>
      </c>
      <c r="N24" s="33">
        <v>4069.2499999999995</v>
      </c>
      <c r="O24" s="36"/>
    </row>
    <row r="25" spans="2:15" s="37" customFormat="1" ht="13.5" x14ac:dyDescent="0.25">
      <c r="B25" s="38" t="s">
        <v>29</v>
      </c>
      <c r="C25" s="12">
        <v>942.67500000000007</v>
      </c>
      <c r="D25" s="33">
        <v>87.884999999999991</v>
      </c>
      <c r="E25" s="33">
        <v>43.085000000000001</v>
      </c>
      <c r="F25" s="33">
        <v>44.8</v>
      </c>
      <c r="G25" s="33"/>
      <c r="H25" s="33">
        <v>437.55000000000007</v>
      </c>
      <c r="I25" s="33">
        <v>108.97</v>
      </c>
      <c r="J25" s="33">
        <v>328.58000000000004</v>
      </c>
      <c r="K25" s="35"/>
      <c r="L25" s="33">
        <v>417.24</v>
      </c>
      <c r="M25" s="33">
        <v>19.14</v>
      </c>
      <c r="N25" s="33">
        <v>398.1</v>
      </c>
      <c r="O25" s="36"/>
    </row>
    <row r="26" spans="2:15" s="37" customFormat="1" ht="13.5" x14ac:dyDescent="0.25">
      <c r="B26" s="38" t="s">
        <v>30</v>
      </c>
      <c r="C26" s="12">
        <v>1991.5</v>
      </c>
      <c r="D26" s="33">
        <v>399.28000000000003</v>
      </c>
      <c r="E26" s="33">
        <v>397.85</v>
      </c>
      <c r="F26" s="33">
        <v>1.43</v>
      </c>
      <c r="G26" s="33"/>
      <c r="H26" s="33">
        <v>179.56</v>
      </c>
      <c r="I26" s="33">
        <v>2.4900000000000002</v>
      </c>
      <c r="J26" s="33">
        <v>177.07</v>
      </c>
      <c r="K26" s="35"/>
      <c r="L26" s="33">
        <v>1412.6599999999999</v>
      </c>
      <c r="M26" s="33">
        <v>5.05</v>
      </c>
      <c r="N26" s="33">
        <v>1407.61</v>
      </c>
      <c r="O26" s="36"/>
    </row>
    <row r="27" spans="2:15" s="37" customFormat="1" ht="13.5" x14ac:dyDescent="0.25">
      <c r="B27" s="38" t="s">
        <v>31</v>
      </c>
      <c r="C27" s="12">
        <v>2615.3199999999997</v>
      </c>
      <c r="D27" s="33">
        <v>475.75</v>
      </c>
      <c r="E27" s="33">
        <v>440.75</v>
      </c>
      <c r="F27" s="33">
        <v>35</v>
      </c>
      <c r="G27" s="33"/>
      <c r="H27" s="33">
        <v>908.20999999999992</v>
      </c>
      <c r="I27" s="33">
        <v>74.39</v>
      </c>
      <c r="J27" s="33">
        <v>833.81999999999994</v>
      </c>
      <c r="K27" s="35"/>
      <c r="L27" s="33">
        <v>1231.3599999999999</v>
      </c>
      <c r="M27" s="33">
        <v>98.14</v>
      </c>
      <c r="N27" s="33">
        <v>1133.2199999999998</v>
      </c>
      <c r="O27" s="36"/>
    </row>
    <row r="28" spans="2:15" s="37" customFormat="1" ht="13.5" x14ac:dyDescent="0.25">
      <c r="B28" s="38" t="s">
        <v>32</v>
      </c>
      <c r="C28" s="12">
        <v>3042.58</v>
      </c>
      <c r="D28" s="33">
        <v>564.86</v>
      </c>
      <c r="E28" s="33">
        <v>248.74</v>
      </c>
      <c r="F28" s="33">
        <v>316.12</v>
      </c>
      <c r="G28" s="33"/>
      <c r="H28" s="33">
        <v>623.89</v>
      </c>
      <c r="I28" s="33">
        <v>79.599999999999994</v>
      </c>
      <c r="J28" s="33">
        <v>544.29</v>
      </c>
      <c r="K28" s="35"/>
      <c r="L28" s="33">
        <v>1853.83</v>
      </c>
      <c r="M28" s="33">
        <v>0</v>
      </c>
      <c r="N28" s="33">
        <v>1853.83</v>
      </c>
      <c r="O28" s="36"/>
    </row>
    <row r="29" spans="2:15" s="37" customFormat="1" ht="13.5" x14ac:dyDescent="0.25">
      <c r="B29" s="38" t="s">
        <v>34</v>
      </c>
      <c r="C29" s="12">
        <v>6036.4699999999993</v>
      </c>
      <c r="D29" s="33">
        <v>1374.29</v>
      </c>
      <c r="E29" s="33">
        <v>931.37</v>
      </c>
      <c r="F29" s="33">
        <v>442.92</v>
      </c>
      <c r="G29" s="33"/>
      <c r="H29" s="33">
        <v>797.06</v>
      </c>
      <c r="I29" s="33">
        <v>260.56</v>
      </c>
      <c r="J29" s="33">
        <v>536.5</v>
      </c>
      <c r="K29" s="35"/>
      <c r="L29" s="33">
        <v>3865.12</v>
      </c>
      <c r="M29" s="33">
        <v>185.17</v>
      </c>
      <c r="N29" s="33">
        <v>3679.95</v>
      </c>
      <c r="O29" s="36"/>
    </row>
    <row r="30" spans="2:15" s="37" customFormat="1" ht="13.5" x14ac:dyDescent="0.25">
      <c r="B30" s="38" t="s">
        <v>35</v>
      </c>
      <c r="C30" s="12">
        <v>9990.1699999999983</v>
      </c>
      <c r="D30" s="33">
        <v>1828.05</v>
      </c>
      <c r="E30" s="33">
        <v>1327.79</v>
      </c>
      <c r="F30" s="33">
        <v>500.26</v>
      </c>
      <c r="G30" s="33"/>
      <c r="H30" s="33">
        <v>1861.53</v>
      </c>
      <c r="I30" s="33">
        <v>93.06</v>
      </c>
      <c r="J30" s="33">
        <v>1768.47</v>
      </c>
      <c r="K30" s="35"/>
      <c r="L30" s="33">
        <v>6300.5899999999992</v>
      </c>
      <c r="M30" s="33">
        <v>39.75</v>
      </c>
      <c r="N30" s="33">
        <v>6260.8399999999992</v>
      </c>
      <c r="O30" s="36"/>
    </row>
    <row r="31" spans="2:15" s="37" customFormat="1" ht="13.5" x14ac:dyDescent="0.25">
      <c r="B31" s="38" t="s">
        <v>36</v>
      </c>
      <c r="C31" s="12">
        <v>4752.25</v>
      </c>
      <c r="D31" s="33">
        <v>848.07999999999993</v>
      </c>
      <c r="E31" s="33">
        <v>551.99</v>
      </c>
      <c r="F31" s="33">
        <v>296.08999999999997</v>
      </c>
      <c r="G31" s="33"/>
      <c r="H31" s="33">
        <v>618.68000000000006</v>
      </c>
      <c r="I31" s="33">
        <v>58.97</v>
      </c>
      <c r="J31" s="33">
        <v>559.71</v>
      </c>
      <c r="K31" s="35"/>
      <c r="L31" s="33">
        <v>3285.49</v>
      </c>
      <c r="M31" s="33">
        <v>14.88</v>
      </c>
      <c r="N31" s="33">
        <v>3270.6099999999997</v>
      </c>
      <c r="O31" s="36"/>
    </row>
    <row r="32" spans="2:15" s="37" customFormat="1" ht="13.5" x14ac:dyDescent="0.25">
      <c r="B32" s="38" t="s">
        <v>37</v>
      </c>
      <c r="C32" s="12">
        <v>2546.19</v>
      </c>
      <c r="D32" s="39">
        <v>632.59</v>
      </c>
      <c r="E32" s="33">
        <v>454.68</v>
      </c>
      <c r="F32" s="33">
        <v>177.91</v>
      </c>
      <c r="G32" s="33"/>
      <c r="H32" s="39">
        <v>528.86</v>
      </c>
      <c r="I32" s="39">
        <v>81.2</v>
      </c>
      <c r="J32" s="39">
        <v>447.65999999999997</v>
      </c>
      <c r="K32" s="35"/>
      <c r="L32" s="39">
        <v>1384.74</v>
      </c>
      <c r="M32" s="39">
        <v>151.41</v>
      </c>
      <c r="N32" s="33">
        <v>1233.33</v>
      </c>
      <c r="O32" s="36"/>
    </row>
    <row r="33" spans="2:15" s="37" customFormat="1" ht="13.5" x14ac:dyDescent="0.25">
      <c r="B33" s="38" t="s">
        <v>38</v>
      </c>
      <c r="C33" s="12">
        <v>911.1</v>
      </c>
      <c r="D33" s="39">
        <v>138.15</v>
      </c>
      <c r="E33" s="33">
        <v>138.15</v>
      </c>
      <c r="F33" s="33">
        <v>0</v>
      </c>
      <c r="G33" s="33"/>
      <c r="H33" s="39">
        <v>304.2</v>
      </c>
      <c r="I33" s="39">
        <v>83.97</v>
      </c>
      <c r="J33" s="39">
        <v>220.23</v>
      </c>
      <c r="K33" s="40"/>
      <c r="L33" s="33">
        <v>468.75</v>
      </c>
      <c r="M33" s="39">
        <v>5.93</v>
      </c>
      <c r="N33" s="33">
        <v>462.82</v>
      </c>
      <c r="O33" s="36"/>
    </row>
    <row r="34" spans="2:15" s="37" customFormat="1" ht="22.5" customHeight="1" thickBot="1" x14ac:dyDescent="0.3">
      <c r="B34" s="41" t="s">
        <v>39</v>
      </c>
      <c r="C34" s="14">
        <v>1909.8600000000001</v>
      </c>
      <c r="D34" s="42">
        <v>280.69</v>
      </c>
      <c r="E34" s="42">
        <v>221.1</v>
      </c>
      <c r="F34" s="42">
        <v>59.59</v>
      </c>
      <c r="G34" s="33"/>
      <c r="H34" s="42">
        <v>335.67</v>
      </c>
      <c r="I34" s="42">
        <v>0.19</v>
      </c>
      <c r="J34" s="42">
        <v>335.48</v>
      </c>
      <c r="K34" s="43"/>
      <c r="L34" s="42">
        <v>1293.5</v>
      </c>
      <c r="M34" s="42">
        <v>9.2200000000000006</v>
      </c>
      <c r="N34" s="42">
        <v>1284.28</v>
      </c>
      <c r="O34" s="36"/>
    </row>
    <row r="35" spans="2:15" ht="8.25" customHeight="1" x14ac:dyDescent="0.25">
      <c r="N35" s="27"/>
    </row>
    <row r="36" spans="2:15" ht="16.5" customHeight="1" x14ac:dyDescent="0.25">
      <c r="B36" s="44" t="s">
        <v>50</v>
      </c>
      <c r="C36" s="15"/>
      <c r="D36" s="15"/>
      <c r="E36" s="15"/>
      <c r="F36" s="15"/>
      <c r="G36" s="15"/>
      <c r="H36" s="15"/>
      <c r="I36" s="15"/>
      <c r="J36" s="15"/>
      <c r="K36" s="15"/>
      <c r="L36" s="15"/>
      <c r="M36" s="15"/>
      <c r="N36" s="57"/>
    </row>
    <row r="37" spans="2:15" ht="14.25" customHeight="1" x14ac:dyDescent="0.25">
      <c r="B37" s="15" t="s">
        <v>41</v>
      </c>
      <c r="C37" s="15"/>
      <c r="D37" s="15"/>
      <c r="E37" s="15"/>
      <c r="F37" s="15"/>
      <c r="G37" s="15"/>
      <c r="H37" s="15"/>
      <c r="I37" s="15"/>
      <c r="J37" s="15"/>
      <c r="K37" s="15"/>
      <c r="L37" s="15"/>
      <c r="M37" s="15"/>
      <c r="N37" s="15"/>
    </row>
    <row r="38" spans="2:15" ht="14.25" customHeight="1" x14ac:dyDescent="0.25">
      <c r="B38" s="15" t="s">
        <v>42</v>
      </c>
      <c r="C38" s="15"/>
      <c r="D38" s="15"/>
      <c r="E38" s="15"/>
      <c r="F38" s="15"/>
      <c r="G38" s="15"/>
      <c r="H38" s="15"/>
      <c r="I38" s="15"/>
      <c r="J38" s="15"/>
      <c r="K38" s="15"/>
      <c r="L38" s="15"/>
      <c r="M38" s="15"/>
      <c r="N38" s="15"/>
    </row>
    <row r="39" spans="2:15" ht="14.25" customHeight="1" x14ac:dyDescent="0.25">
      <c r="B39" s="15" t="s">
        <v>43</v>
      </c>
      <c r="C39" s="15"/>
      <c r="D39" s="15"/>
      <c r="E39" s="15"/>
      <c r="F39" s="15"/>
      <c r="G39" s="15"/>
      <c r="H39" s="15"/>
      <c r="I39" s="15"/>
      <c r="J39" s="15"/>
      <c r="K39" s="15"/>
      <c r="L39" s="15"/>
      <c r="M39" s="15"/>
      <c r="N39" s="15"/>
    </row>
    <row r="40" spans="2:15" ht="14.25" customHeight="1" x14ac:dyDescent="0.25">
      <c r="B40" s="15"/>
      <c r="C40" s="15"/>
      <c r="D40" s="15"/>
      <c r="E40" s="15"/>
      <c r="F40" s="15"/>
      <c r="G40" s="15"/>
      <c r="H40" s="15"/>
      <c r="I40" s="15"/>
      <c r="J40" s="15"/>
      <c r="K40" s="15"/>
      <c r="L40" s="15"/>
      <c r="M40" s="15"/>
      <c r="N40" s="15"/>
    </row>
    <row r="41" spans="2:15" ht="14.25" customHeight="1" x14ac:dyDescent="0.25"/>
    <row r="42" spans="2:15" ht="17.25" customHeight="1" x14ac:dyDescent="0.25">
      <c r="B42" s="145" t="s">
        <v>136</v>
      </c>
      <c r="C42" s="145"/>
      <c r="D42" s="145"/>
      <c r="E42" s="145"/>
      <c r="F42" s="145"/>
      <c r="G42" s="145"/>
      <c r="H42" s="145"/>
      <c r="I42" s="145"/>
      <c r="J42" s="145"/>
      <c r="K42" s="145"/>
      <c r="L42" s="145"/>
      <c r="M42" s="145"/>
      <c r="N42" s="145"/>
    </row>
    <row r="43" spans="2:15" x14ac:dyDescent="0.25">
      <c r="B43" s="146" t="s">
        <v>46</v>
      </c>
      <c r="C43" s="146"/>
      <c r="D43" s="146"/>
      <c r="E43" s="146"/>
      <c r="F43" s="146"/>
      <c r="G43" s="146"/>
      <c r="H43" s="146"/>
      <c r="I43" s="146"/>
      <c r="J43" s="146"/>
      <c r="K43" s="146"/>
      <c r="L43" s="146"/>
      <c r="M43" s="146"/>
      <c r="N43" s="146"/>
    </row>
    <row r="44" spans="2:15" x14ac:dyDescent="0.25">
      <c r="B44" s="45"/>
      <c r="C44" s="45"/>
      <c r="D44" s="45"/>
      <c r="E44" s="45"/>
      <c r="F44" s="45"/>
      <c r="G44" s="45"/>
      <c r="H44" s="45"/>
      <c r="I44" s="45"/>
      <c r="J44" s="45"/>
      <c r="K44" s="45"/>
      <c r="L44" s="45"/>
      <c r="M44" s="45"/>
      <c r="N44" s="45"/>
    </row>
    <row r="45" spans="2:15" ht="14.25" thickBot="1" x14ac:dyDescent="0.3">
      <c r="B45" s="158" t="s">
        <v>2</v>
      </c>
      <c r="C45" s="158"/>
      <c r="D45" s="158"/>
      <c r="E45" s="158"/>
      <c r="F45" s="158"/>
      <c r="G45" s="158"/>
      <c r="H45" s="158"/>
      <c r="I45" s="158"/>
      <c r="J45" s="158"/>
      <c r="K45" s="158"/>
      <c r="L45" s="158"/>
      <c r="M45" s="158"/>
      <c r="N45" s="158"/>
      <c r="O45" s="158"/>
    </row>
    <row r="46" spans="2:15" ht="15.95" customHeight="1" x14ac:dyDescent="0.25">
      <c r="B46" s="147" t="s">
        <v>3</v>
      </c>
      <c r="C46" s="149" t="s">
        <v>4</v>
      </c>
      <c r="D46" s="147" t="s">
        <v>5</v>
      </c>
      <c r="E46" s="147"/>
      <c r="F46" s="147"/>
      <c r="G46" s="3"/>
      <c r="H46" s="147" t="s">
        <v>6</v>
      </c>
      <c r="I46" s="147"/>
      <c r="J46" s="147"/>
      <c r="K46" s="3"/>
      <c r="L46" s="147" t="s">
        <v>7</v>
      </c>
      <c r="M46" s="147"/>
      <c r="N46" s="147"/>
    </row>
    <row r="47" spans="2:15" ht="26.25" customHeight="1" thickBot="1" x14ac:dyDescent="0.3">
      <c r="B47" s="148"/>
      <c r="C47" s="150"/>
      <c r="D47" s="4" t="s">
        <v>8</v>
      </c>
      <c r="E47" s="4" t="s">
        <v>9</v>
      </c>
      <c r="F47" s="46" t="s">
        <v>10</v>
      </c>
      <c r="G47" s="5"/>
      <c r="H47" s="4" t="s">
        <v>11</v>
      </c>
      <c r="I47" s="4" t="s">
        <v>12</v>
      </c>
      <c r="J47" s="4" t="s">
        <v>10</v>
      </c>
      <c r="K47" s="28"/>
      <c r="L47" s="4" t="s">
        <v>11</v>
      </c>
      <c r="M47" s="4" t="s">
        <v>12</v>
      </c>
      <c r="N47" s="4" t="s">
        <v>10</v>
      </c>
    </row>
    <row r="48" spans="2:15" s="48" customFormat="1" ht="18" customHeight="1" x14ac:dyDescent="0.25">
      <c r="B48" s="47" t="s">
        <v>13</v>
      </c>
      <c r="C48" s="30">
        <v>140672.35647509206</v>
      </c>
      <c r="D48" s="30">
        <v>24593.403000000006</v>
      </c>
      <c r="E48" s="30">
        <v>14747.735000000001</v>
      </c>
      <c r="F48" s="30">
        <v>9845.6679999999997</v>
      </c>
      <c r="G48" s="31"/>
      <c r="H48" s="30">
        <v>24235.123475092099</v>
      </c>
      <c r="I48" s="30">
        <v>2339.7215823605693</v>
      </c>
      <c r="J48" s="30">
        <v>21895.40189273153</v>
      </c>
      <c r="K48" s="31"/>
      <c r="L48" s="30">
        <v>91843.83</v>
      </c>
      <c r="M48" s="30">
        <v>1611.1</v>
      </c>
      <c r="N48" s="30">
        <v>90232.73</v>
      </c>
    </row>
    <row r="49" spans="2:15" ht="13.5" x14ac:dyDescent="0.25">
      <c r="B49" s="11" t="s">
        <v>14</v>
      </c>
      <c r="C49" s="33">
        <v>3182.6630000000005</v>
      </c>
      <c r="D49" s="33">
        <v>851.06700000000001</v>
      </c>
      <c r="E49" s="33">
        <v>442.55599999999998</v>
      </c>
      <c r="F49" s="33">
        <v>408.51100000000002</v>
      </c>
      <c r="G49" s="49"/>
      <c r="H49" s="33">
        <v>601.06600000000014</v>
      </c>
      <c r="I49" s="33">
        <v>31.281000000000013</v>
      </c>
      <c r="J49" s="33">
        <v>569.78500000000008</v>
      </c>
      <c r="K49" s="50"/>
      <c r="L49" s="33">
        <v>1730.53</v>
      </c>
      <c r="M49" s="33">
        <v>0</v>
      </c>
      <c r="N49" s="33">
        <v>1730.53</v>
      </c>
    </row>
    <row r="50" spans="2:15" ht="13.5" x14ac:dyDescent="0.25">
      <c r="B50" s="7" t="s">
        <v>15</v>
      </c>
      <c r="C50" s="33">
        <v>9817.6670000000013</v>
      </c>
      <c r="D50" s="33">
        <v>1589.9069999999999</v>
      </c>
      <c r="E50" s="33">
        <v>932.38400000000001</v>
      </c>
      <c r="F50" s="33">
        <v>657.52299999999991</v>
      </c>
      <c r="G50" s="50"/>
      <c r="H50" s="33">
        <v>1511.4699999999998</v>
      </c>
      <c r="I50" s="33">
        <v>215.04999999999998</v>
      </c>
      <c r="J50" s="33">
        <v>1296.4199999999998</v>
      </c>
      <c r="K50" s="50"/>
      <c r="L50" s="33">
        <v>6716.2900000000009</v>
      </c>
      <c r="M50" s="33">
        <v>82.5</v>
      </c>
      <c r="N50" s="33">
        <v>6633.7900000000009</v>
      </c>
    </row>
    <row r="51" spans="2:15" ht="13.5" x14ac:dyDescent="0.25">
      <c r="B51" s="7" t="s">
        <v>16</v>
      </c>
      <c r="C51" s="33">
        <v>7110.9009999999998</v>
      </c>
      <c r="D51" s="33">
        <v>1108.5609999999999</v>
      </c>
      <c r="E51" s="33">
        <v>596.73</v>
      </c>
      <c r="F51" s="33">
        <v>511.8309999999999</v>
      </c>
      <c r="G51" s="50"/>
      <c r="H51" s="33">
        <v>1325.98</v>
      </c>
      <c r="I51" s="33">
        <v>0</v>
      </c>
      <c r="J51" s="33">
        <v>1325.98</v>
      </c>
      <c r="K51" s="50"/>
      <c r="L51" s="33">
        <v>4676.3599999999997</v>
      </c>
      <c r="M51" s="33">
        <v>5.49</v>
      </c>
      <c r="N51" s="33">
        <v>4670.87</v>
      </c>
    </row>
    <row r="52" spans="2:15" ht="13.5" x14ac:dyDescent="0.25">
      <c r="B52" s="7" t="s">
        <v>17</v>
      </c>
      <c r="C52" s="33">
        <v>8700.4830000000002</v>
      </c>
      <c r="D52" s="33">
        <v>1419.4169999999997</v>
      </c>
      <c r="E52" s="33">
        <v>958.43199999999979</v>
      </c>
      <c r="F52" s="33">
        <v>460.98499999999996</v>
      </c>
      <c r="G52" s="35"/>
      <c r="H52" s="33">
        <v>1639.5659999999998</v>
      </c>
      <c r="I52" s="33">
        <v>510.30645799999996</v>
      </c>
      <c r="J52" s="33">
        <v>1129.2595419999998</v>
      </c>
      <c r="K52" s="35"/>
      <c r="L52" s="33">
        <v>5641.5</v>
      </c>
      <c r="M52" s="33">
        <v>223.59</v>
      </c>
      <c r="N52" s="33">
        <v>5417.91</v>
      </c>
      <c r="O52" s="36"/>
    </row>
    <row r="53" spans="2:15" ht="13.5" x14ac:dyDescent="0.25">
      <c r="B53" s="7" t="s">
        <v>18</v>
      </c>
      <c r="C53" s="33">
        <v>10174.39</v>
      </c>
      <c r="D53" s="33">
        <v>1776.0799999999997</v>
      </c>
      <c r="E53" s="33">
        <v>465.17699999999991</v>
      </c>
      <c r="F53" s="33">
        <v>1310.9029999999998</v>
      </c>
      <c r="G53" s="35"/>
      <c r="H53" s="33">
        <v>1812.5300000000002</v>
      </c>
      <c r="I53" s="33">
        <v>0</v>
      </c>
      <c r="J53" s="33">
        <v>1812.5300000000002</v>
      </c>
      <c r="K53" s="35"/>
      <c r="L53" s="33">
        <v>6585.7800000000007</v>
      </c>
      <c r="M53" s="33">
        <v>15.1</v>
      </c>
      <c r="N53" s="33">
        <v>6570.68</v>
      </c>
      <c r="O53" s="36"/>
    </row>
    <row r="54" spans="2:15" ht="13.5" x14ac:dyDescent="0.25">
      <c r="B54" s="7" t="s">
        <v>19</v>
      </c>
      <c r="C54" s="33">
        <v>9120.0720860920956</v>
      </c>
      <c r="D54" s="33">
        <v>1738.6339999999998</v>
      </c>
      <c r="E54" s="33">
        <v>941.66899999999964</v>
      </c>
      <c r="F54" s="33">
        <v>796.96500000000015</v>
      </c>
      <c r="G54" s="35"/>
      <c r="H54" s="33">
        <v>594.08808609209518</v>
      </c>
      <c r="I54" s="33">
        <v>31.849603999999992</v>
      </c>
      <c r="J54" s="33">
        <v>562.23848209209518</v>
      </c>
      <c r="K54" s="35"/>
      <c r="L54" s="33">
        <v>6787.3499999999995</v>
      </c>
      <c r="M54" s="33">
        <v>12.82</v>
      </c>
      <c r="N54" s="33">
        <v>6774.53</v>
      </c>
      <c r="O54" s="36"/>
    </row>
    <row r="55" spans="2:15" ht="13.5" x14ac:dyDescent="0.25">
      <c r="B55" s="7" t="s">
        <v>20</v>
      </c>
      <c r="C55" s="33">
        <v>64.935000000000002</v>
      </c>
      <c r="D55" s="33">
        <v>13.094999999999999</v>
      </c>
      <c r="E55" s="33">
        <v>13.094999999999999</v>
      </c>
      <c r="F55" s="33">
        <v>0</v>
      </c>
      <c r="G55" s="35"/>
      <c r="H55" s="33">
        <v>51.84</v>
      </c>
      <c r="I55" s="33">
        <v>51.84</v>
      </c>
      <c r="J55" s="33">
        <v>0</v>
      </c>
      <c r="K55" s="35"/>
      <c r="L55" s="33">
        <v>0</v>
      </c>
      <c r="M55" s="33">
        <v>0</v>
      </c>
      <c r="N55" s="33">
        <v>0</v>
      </c>
      <c r="O55" s="36"/>
    </row>
    <row r="56" spans="2:15" ht="13.5" x14ac:dyDescent="0.25">
      <c r="B56" s="7" t="s">
        <v>21</v>
      </c>
      <c r="C56" s="33">
        <v>13184.257000000001</v>
      </c>
      <c r="D56" s="33">
        <v>1821.4769999999999</v>
      </c>
      <c r="E56" s="33">
        <v>1050.8609999999999</v>
      </c>
      <c r="F56" s="33">
        <v>770.6160000000001</v>
      </c>
      <c r="G56" s="35"/>
      <c r="H56" s="33">
        <v>2646.7799999999997</v>
      </c>
      <c r="I56" s="33">
        <v>84.16</v>
      </c>
      <c r="J56" s="33">
        <v>2562.62</v>
      </c>
      <c r="K56" s="35"/>
      <c r="L56" s="33">
        <v>8716.0000000000018</v>
      </c>
      <c r="M56" s="33">
        <v>47.19</v>
      </c>
      <c r="N56" s="33">
        <v>8668.8100000000013</v>
      </c>
      <c r="O56" s="36"/>
    </row>
    <row r="57" spans="2:15" ht="13.5" x14ac:dyDescent="0.25">
      <c r="B57" s="7" t="s">
        <v>22</v>
      </c>
      <c r="C57" s="33">
        <v>7734.2800000000007</v>
      </c>
      <c r="D57" s="33">
        <v>1444.1399999999999</v>
      </c>
      <c r="E57" s="33">
        <v>512.83999999999992</v>
      </c>
      <c r="F57" s="33">
        <v>931.3</v>
      </c>
      <c r="G57" s="35"/>
      <c r="H57" s="33">
        <v>1400.5600000000004</v>
      </c>
      <c r="I57" s="33">
        <v>0</v>
      </c>
      <c r="J57" s="33">
        <v>1400.5600000000004</v>
      </c>
      <c r="K57" s="35"/>
      <c r="L57" s="33">
        <v>4889.58</v>
      </c>
      <c r="M57" s="33">
        <v>0</v>
      </c>
      <c r="N57" s="33">
        <v>4889.58</v>
      </c>
      <c r="O57" s="36"/>
    </row>
    <row r="58" spans="2:15" ht="13.5" x14ac:dyDescent="0.25">
      <c r="B58" s="7" t="s">
        <v>23</v>
      </c>
      <c r="C58" s="33">
        <v>5102.6059999999998</v>
      </c>
      <c r="D58" s="33">
        <v>989.9140000000001</v>
      </c>
      <c r="E58" s="33">
        <v>553.32000000000005</v>
      </c>
      <c r="F58" s="33">
        <v>436.59400000000005</v>
      </c>
      <c r="G58" s="35"/>
      <c r="H58" s="33">
        <v>712.94199999999989</v>
      </c>
      <c r="I58" s="33">
        <v>15.984175999999986</v>
      </c>
      <c r="J58" s="33">
        <v>696.95782399999996</v>
      </c>
      <c r="K58" s="35"/>
      <c r="L58" s="33">
        <v>3399.75</v>
      </c>
      <c r="M58" s="33">
        <v>4.2</v>
      </c>
      <c r="N58" s="33">
        <v>3395.55</v>
      </c>
      <c r="O58" s="36"/>
    </row>
    <row r="59" spans="2:15" ht="13.5" x14ac:dyDescent="0.25">
      <c r="B59" s="7" t="s">
        <v>24</v>
      </c>
      <c r="C59" s="33">
        <v>3386.3609999999999</v>
      </c>
      <c r="D59" s="33">
        <v>663.19499999999971</v>
      </c>
      <c r="E59" s="33">
        <v>571.6089999999997</v>
      </c>
      <c r="F59" s="33">
        <v>91.585999999999984</v>
      </c>
      <c r="G59" s="35"/>
      <c r="H59" s="33">
        <v>721.21600000000001</v>
      </c>
      <c r="I59" s="33">
        <v>48.941000000000003</v>
      </c>
      <c r="J59" s="33">
        <v>672.27499999999998</v>
      </c>
      <c r="K59" s="35"/>
      <c r="L59" s="33">
        <v>2001.95</v>
      </c>
      <c r="M59" s="33">
        <v>80.25</v>
      </c>
      <c r="N59" s="33">
        <v>1921.7</v>
      </c>
      <c r="O59" s="36"/>
    </row>
    <row r="60" spans="2:15" ht="13.5" x14ac:dyDescent="0.25">
      <c r="B60" s="7" t="s">
        <v>25</v>
      </c>
      <c r="C60" s="33">
        <v>9491.0060000000012</v>
      </c>
      <c r="D60" s="33">
        <v>1313.7759999999998</v>
      </c>
      <c r="E60" s="33">
        <v>917.0569999999999</v>
      </c>
      <c r="F60" s="33">
        <v>396.71899999999999</v>
      </c>
      <c r="G60" s="35"/>
      <c r="H60" s="33">
        <v>895.00000000000034</v>
      </c>
      <c r="I60" s="33">
        <v>14.579999999999998</v>
      </c>
      <c r="J60" s="33">
        <v>880.4200000000003</v>
      </c>
      <c r="K60" s="35"/>
      <c r="L60" s="33">
        <v>7282.2300000000005</v>
      </c>
      <c r="M60" s="33">
        <v>231.6</v>
      </c>
      <c r="N60" s="33">
        <v>7050.63</v>
      </c>
      <c r="O60" s="36"/>
    </row>
    <row r="61" spans="2:15" ht="13.5" x14ac:dyDescent="0.25">
      <c r="B61" s="7" t="s">
        <v>26</v>
      </c>
      <c r="C61" s="33">
        <v>7483.5169999999989</v>
      </c>
      <c r="D61" s="33">
        <v>1243.9579999999996</v>
      </c>
      <c r="E61" s="33">
        <v>524.3739999999998</v>
      </c>
      <c r="F61" s="33">
        <v>719.58399999999983</v>
      </c>
      <c r="G61" s="35"/>
      <c r="H61" s="33">
        <v>1740.8789999999999</v>
      </c>
      <c r="I61" s="33">
        <v>108.98524800000003</v>
      </c>
      <c r="J61" s="33">
        <v>1631.8937519999999</v>
      </c>
      <c r="K61" s="35"/>
      <c r="L61" s="33">
        <v>4498.6799999999994</v>
      </c>
      <c r="M61" s="33">
        <v>164.44</v>
      </c>
      <c r="N61" s="33">
        <v>4334.24</v>
      </c>
      <c r="O61" s="36"/>
    </row>
    <row r="62" spans="2:15" ht="13.5" x14ac:dyDescent="0.25">
      <c r="B62" s="7" t="s">
        <v>27</v>
      </c>
      <c r="C62" s="33">
        <v>3005.3040000000001</v>
      </c>
      <c r="D62" s="33">
        <v>467.625</v>
      </c>
      <c r="E62" s="33">
        <v>410.476</v>
      </c>
      <c r="F62" s="33">
        <v>57.149000000000008</v>
      </c>
      <c r="G62" s="35"/>
      <c r="H62" s="33">
        <v>523.94899999999996</v>
      </c>
      <c r="I62" s="33">
        <v>212.03910746762193</v>
      </c>
      <c r="J62" s="33">
        <v>311.90989253237802</v>
      </c>
      <c r="K62" s="35"/>
      <c r="L62" s="33">
        <v>2013.73</v>
      </c>
      <c r="M62" s="33">
        <v>27.55</v>
      </c>
      <c r="N62" s="33">
        <v>1986.18</v>
      </c>
      <c r="O62" s="36"/>
    </row>
    <row r="63" spans="2:15" ht="13.5" x14ac:dyDescent="0.25">
      <c r="B63" s="7" t="s">
        <v>28</v>
      </c>
      <c r="C63" s="33">
        <v>7503.4170000000004</v>
      </c>
      <c r="D63" s="33">
        <v>1450.4269999999999</v>
      </c>
      <c r="E63" s="33">
        <v>1054.019</v>
      </c>
      <c r="F63" s="33">
        <v>396.4079999999999</v>
      </c>
      <c r="G63" s="35"/>
      <c r="H63" s="33">
        <v>1812.2300000000002</v>
      </c>
      <c r="I63" s="33">
        <v>124.69999999999999</v>
      </c>
      <c r="J63" s="33">
        <v>1687.5300000000002</v>
      </c>
      <c r="K63" s="35"/>
      <c r="L63" s="33">
        <v>4240.76</v>
      </c>
      <c r="M63" s="33">
        <v>180.53</v>
      </c>
      <c r="N63" s="33">
        <v>4060.23</v>
      </c>
      <c r="O63" s="36"/>
    </row>
    <row r="64" spans="2:15" ht="13.5" x14ac:dyDescent="0.25">
      <c r="B64" s="7" t="s">
        <v>29</v>
      </c>
      <c r="C64" s="33">
        <v>961.45399999999995</v>
      </c>
      <c r="D64" s="33">
        <v>87.884000000000015</v>
      </c>
      <c r="E64" s="33">
        <v>43.085000000000008</v>
      </c>
      <c r="F64" s="33">
        <v>44.798999999999999</v>
      </c>
      <c r="G64" s="35"/>
      <c r="H64" s="33">
        <v>436.69</v>
      </c>
      <c r="I64" s="33">
        <v>108.56</v>
      </c>
      <c r="J64" s="33">
        <v>328.13</v>
      </c>
      <c r="K64" s="35"/>
      <c r="L64" s="33">
        <v>436.87999999999994</v>
      </c>
      <c r="M64" s="33">
        <v>19.079999999999998</v>
      </c>
      <c r="N64" s="33">
        <v>417.79999999999995</v>
      </c>
      <c r="O64" s="36"/>
    </row>
    <row r="65" spans="2:15" ht="13.5" x14ac:dyDescent="0.25">
      <c r="B65" s="7" t="s">
        <v>30</v>
      </c>
      <c r="C65" s="33">
        <v>1994.9059999999999</v>
      </c>
      <c r="D65" s="33">
        <v>399.27600000000001</v>
      </c>
      <c r="E65" s="33">
        <v>397.84500000000003</v>
      </c>
      <c r="F65" s="33">
        <v>1.431</v>
      </c>
      <c r="G65" s="35"/>
      <c r="H65" s="33">
        <v>179.63</v>
      </c>
      <c r="I65" s="33">
        <v>2.4900000000000002</v>
      </c>
      <c r="J65" s="33">
        <v>177.14</v>
      </c>
      <c r="K65" s="35"/>
      <c r="L65" s="33">
        <v>1416</v>
      </c>
      <c r="M65" s="33">
        <v>5.07</v>
      </c>
      <c r="N65" s="33">
        <v>1410.93</v>
      </c>
      <c r="O65" s="36"/>
    </row>
    <row r="66" spans="2:15" ht="13.5" x14ac:dyDescent="0.25">
      <c r="B66" s="7" t="s">
        <v>31</v>
      </c>
      <c r="C66" s="33">
        <v>2593.4499999999998</v>
      </c>
      <c r="D66" s="33">
        <v>475.75700000000006</v>
      </c>
      <c r="E66" s="33">
        <v>440.75300000000004</v>
      </c>
      <c r="F66" s="33">
        <v>35.003999999999998</v>
      </c>
      <c r="G66" s="35"/>
      <c r="H66" s="33">
        <v>885.72299999999996</v>
      </c>
      <c r="I66" s="33">
        <v>68.852526248784869</v>
      </c>
      <c r="J66" s="33">
        <v>816.87047375121506</v>
      </c>
      <c r="K66" s="35"/>
      <c r="L66" s="33">
        <v>1231.97</v>
      </c>
      <c r="M66" s="33">
        <v>98.22</v>
      </c>
      <c r="N66" s="33">
        <v>1133.75</v>
      </c>
      <c r="O66" s="36"/>
    </row>
    <row r="67" spans="2:15" ht="13.5" x14ac:dyDescent="0.25">
      <c r="B67" s="7" t="s">
        <v>32</v>
      </c>
      <c r="C67" s="33">
        <v>3301.6179999999999</v>
      </c>
      <c r="D67" s="33">
        <v>564.86599999999999</v>
      </c>
      <c r="E67" s="33">
        <v>249.017</v>
      </c>
      <c r="F67" s="33">
        <v>315.84900000000005</v>
      </c>
      <c r="G67" s="35"/>
      <c r="H67" s="33">
        <v>610.70199999999988</v>
      </c>
      <c r="I67" s="33">
        <v>34.434956845041633</v>
      </c>
      <c r="J67" s="33">
        <v>576.26704315495829</v>
      </c>
      <c r="K67" s="35"/>
      <c r="L67" s="33">
        <v>2126.0500000000002</v>
      </c>
      <c r="M67" s="33">
        <v>0</v>
      </c>
      <c r="N67" s="33">
        <v>2126.0500000000002</v>
      </c>
      <c r="O67" s="36"/>
    </row>
    <row r="68" spans="2:15" ht="13.5" x14ac:dyDescent="0.25">
      <c r="B68" s="7" t="s">
        <v>34</v>
      </c>
      <c r="C68" s="33">
        <v>6098.0650000000005</v>
      </c>
      <c r="D68" s="33">
        <v>1374.2949999999998</v>
      </c>
      <c r="E68" s="33">
        <v>936.03299999999979</v>
      </c>
      <c r="F68" s="33">
        <v>438.262</v>
      </c>
      <c r="G68" s="35"/>
      <c r="H68" s="33">
        <v>844.38000000000011</v>
      </c>
      <c r="I68" s="33">
        <v>244.66202779912069</v>
      </c>
      <c r="J68" s="33">
        <v>599.71797220087944</v>
      </c>
      <c r="K68" s="35"/>
      <c r="L68" s="33">
        <v>3879.39</v>
      </c>
      <c r="M68" s="33">
        <v>185.54</v>
      </c>
      <c r="N68" s="33">
        <v>3693.85</v>
      </c>
      <c r="O68" s="36"/>
    </row>
    <row r="69" spans="2:15" ht="13.5" x14ac:dyDescent="0.25">
      <c r="B69" s="7" t="s">
        <v>35</v>
      </c>
      <c r="C69" s="33">
        <v>10840.454000000002</v>
      </c>
      <c r="D69" s="33">
        <v>1900.5540000000005</v>
      </c>
      <c r="E69" s="33">
        <v>1327.7930000000006</v>
      </c>
      <c r="F69" s="33">
        <v>572.76099999999997</v>
      </c>
      <c r="G69" s="35"/>
      <c r="H69" s="33">
        <v>1791.3100000000002</v>
      </c>
      <c r="I69" s="33">
        <v>93.320000000000007</v>
      </c>
      <c r="J69" s="33">
        <v>1697.9900000000002</v>
      </c>
      <c r="K69" s="35"/>
      <c r="L69" s="33">
        <v>7148.59</v>
      </c>
      <c r="M69" s="33">
        <v>46.41</v>
      </c>
      <c r="N69" s="33">
        <v>7102.18</v>
      </c>
      <c r="O69" s="36"/>
    </row>
    <row r="70" spans="2:15" ht="13.5" x14ac:dyDescent="0.25">
      <c r="B70" s="7" t="s">
        <v>36</v>
      </c>
      <c r="C70" s="33">
        <v>4619.3289999999997</v>
      </c>
      <c r="D70" s="33">
        <v>848.08000000000015</v>
      </c>
      <c r="E70" s="33">
        <v>594.68900000000008</v>
      </c>
      <c r="F70" s="33">
        <v>253.39100000000002</v>
      </c>
      <c r="G70" s="35"/>
      <c r="H70" s="33">
        <v>492.48899999999992</v>
      </c>
      <c r="I70" s="33">
        <v>178.65300000000005</v>
      </c>
      <c r="J70" s="33">
        <v>313.8359999999999</v>
      </c>
      <c r="K70" s="35"/>
      <c r="L70" s="33">
        <v>3278.76</v>
      </c>
      <c r="M70" s="33">
        <v>14.82</v>
      </c>
      <c r="N70" s="33">
        <v>3263.94</v>
      </c>
      <c r="O70" s="36"/>
    </row>
    <row r="71" spans="2:15" ht="13.5" x14ac:dyDescent="0.25">
      <c r="B71" s="7" t="s">
        <v>37</v>
      </c>
      <c r="C71" s="33">
        <v>2530.7263890000004</v>
      </c>
      <c r="D71" s="39">
        <v>632.58800000000019</v>
      </c>
      <c r="E71" s="39">
        <v>454.68000000000018</v>
      </c>
      <c r="F71" s="39">
        <v>177.90800000000002</v>
      </c>
      <c r="G71" s="35"/>
      <c r="H71" s="39">
        <v>512.16838900000005</v>
      </c>
      <c r="I71" s="39">
        <v>85.001477999999992</v>
      </c>
      <c r="J71" s="39">
        <v>427.16691100000003</v>
      </c>
      <c r="K71" s="35"/>
      <c r="L71" s="39">
        <v>1385.97</v>
      </c>
      <c r="M71" s="39">
        <v>151.55000000000001</v>
      </c>
      <c r="N71" s="33">
        <v>1234.42</v>
      </c>
      <c r="O71" s="36"/>
    </row>
    <row r="72" spans="2:15" ht="13.5" x14ac:dyDescent="0.25">
      <c r="B72" s="7" t="s">
        <v>38</v>
      </c>
      <c r="C72" s="33">
        <v>885.87800000000004</v>
      </c>
      <c r="D72" s="39">
        <v>138.14599999999999</v>
      </c>
      <c r="E72" s="39">
        <v>138.14599999999999</v>
      </c>
      <c r="F72" s="39">
        <v>0</v>
      </c>
      <c r="G72" s="40"/>
      <c r="H72" s="39">
        <v>277.88200000000001</v>
      </c>
      <c r="I72" s="39">
        <v>74.030999999999992</v>
      </c>
      <c r="J72" s="39">
        <v>203.851</v>
      </c>
      <c r="K72" s="40"/>
      <c r="L72" s="33">
        <v>469.85</v>
      </c>
      <c r="M72" s="39">
        <v>5.95</v>
      </c>
      <c r="N72" s="33">
        <v>463.90000000000003</v>
      </c>
      <c r="O72" s="36"/>
    </row>
    <row r="73" spans="2:15" ht="22.5" customHeight="1" thickBot="1" x14ac:dyDescent="0.3">
      <c r="B73" s="13" t="s">
        <v>39</v>
      </c>
      <c r="C73" s="42">
        <v>1784.6170000000002</v>
      </c>
      <c r="D73" s="42">
        <v>280.68399999999997</v>
      </c>
      <c r="E73" s="42">
        <v>221.095</v>
      </c>
      <c r="F73" s="42">
        <v>59.588999999999999</v>
      </c>
      <c r="G73" s="43"/>
      <c r="H73" s="42">
        <v>214.053</v>
      </c>
      <c r="I73" s="42">
        <v>0</v>
      </c>
      <c r="J73" s="42">
        <v>214.053</v>
      </c>
      <c r="K73" s="43"/>
      <c r="L73" s="42">
        <v>1289.8800000000001</v>
      </c>
      <c r="M73" s="42">
        <v>9.1999999999999993</v>
      </c>
      <c r="N73" s="42">
        <v>1280.68</v>
      </c>
      <c r="O73" s="36"/>
    </row>
    <row r="74" spans="2:15" ht="13.5" x14ac:dyDescent="0.25">
      <c r="C74" s="36"/>
      <c r="D74" s="36"/>
      <c r="E74" s="36"/>
      <c r="F74" s="36"/>
      <c r="G74" s="36"/>
      <c r="H74" s="36"/>
      <c r="I74" s="36"/>
      <c r="J74" s="36"/>
      <c r="K74" s="36"/>
      <c r="L74" s="36"/>
      <c r="M74" s="36"/>
      <c r="N74" s="51"/>
      <c r="O74" s="36"/>
    </row>
    <row r="75" spans="2:15" ht="15" customHeight="1" x14ac:dyDescent="0.25">
      <c r="B75" s="44" t="s">
        <v>50</v>
      </c>
      <c r="C75" s="36"/>
      <c r="D75" s="36"/>
      <c r="E75" s="36"/>
      <c r="F75" s="36"/>
      <c r="G75" s="36"/>
      <c r="H75" s="36"/>
      <c r="I75" s="36"/>
      <c r="J75" s="36"/>
      <c r="K75" s="36"/>
      <c r="L75" s="36"/>
      <c r="M75" s="36"/>
      <c r="N75" s="36"/>
      <c r="O75" s="36"/>
    </row>
    <row r="76" spans="2:15" ht="13.5" x14ac:dyDescent="0.25">
      <c r="B76" s="15" t="s">
        <v>41</v>
      </c>
      <c r="C76" s="36"/>
      <c r="D76" s="36"/>
      <c r="E76" s="36"/>
      <c r="F76" s="36"/>
      <c r="G76" s="36"/>
      <c r="H76" s="36"/>
      <c r="I76" s="36"/>
      <c r="J76" s="36"/>
      <c r="K76" s="36"/>
      <c r="L76" s="36"/>
      <c r="M76" s="36"/>
      <c r="N76" s="36"/>
      <c r="O76" s="36"/>
    </row>
    <row r="77" spans="2:15" ht="13.5" x14ac:dyDescent="0.25">
      <c r="B77" s="15" t="s">
        <v>42</v>
      </c>
      <c r="C77" s="52"/>
    </row>
    <row r="78" spans="2:15" ht="13.5" x14ac:dyDescent="0.25">
      <c r="B78" s="15" t="s">
        <v>43</v>
      </c>
    </row>
  </sheetData>
  <mergeCells count="17">
    <mergeCell ref="B42:N42"/>
    <mergeCell ref="B43:N43"/>
    <mergeCell ref="B45:O45"/>
    <mergeCell ref="B46:B47"/>
    <mergeCell ref="C46:C47"/>
    <mergeCell ref="D46:F46"/>
    <mergeCell ref="H46:J46"/>
    <mergeCell ref="L46:N46"/>
    <mergeCell ref="B2:N2"/>
    <mergeCell ref="B3:N3"/>
    <mergeCell ref="B4:N4"/>
    <mergeCell ref="B6:O6"/>
    <mergeCell ref="B7:B8"/>
    <mergeCell ref="C7:C8"/>
    <mergeCell ref="D7:F7"/>
    <mergeCell ref="H7:J7"/>
    <mergeCell ref="L7:N7"/>
  </mergeCells>
  <printOptions horizontalCentered="1"/>
  <pageMargins left="0.19685039370078741" right="0.19685039370078741" top="0.78740157480314965" bottom="0.78740157480314965" header="0.59055118110236227" footer="0.31496062992125984"/>
  <pageSetup paperSize="9" scale="8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U76"/>
  <sheetViews>
    <sheetView zoomScale="70" zoomScaleNormal="70" workbookViewId="0">
      <selection activeCell="AC35" sqref="AC35"/>
    </sheetView>
  </sheetViews>
  <sheetFormatPr baseColWidth="10" defaultColWidth="11.42578125" defaultRowHeight="16.5" x14ac:dyDescent="0.3"/>
  <cols>
    <col min="1" max="1" width="10" style="1" customWidth="1"/>
    <col min="2" max="2" width="19.85546875" style="1" customWidth="1"/>
    <col min="3" max="3" width="15.5703125" style="1" customWidth="1"/>
    <col min="4" max="4" width="3.7109375" style="1" customWidth="1"/>
    <col min="5" max="5" width="11.42578125" style="1"/>
    <col min="6" max="6" width="15" style="1" customWidth="1"/>
    <col min="7" max="7" width="17.28515625" style="1" customWidth="1"/>
    <col min="8" max="8" width="2" style="1" customWidth="1"/>
    <col min="9" max="9" width="11.42578125" style="1"/>
    <col min="10" max="10" width="13" style="1" bestFit="1" customWidth="1"/>
    <col min="11" max="11" width="16.5703125" style="1" customWidth="1"/>
    <col min="12" max="12" width="2.5703125" style="1" customWidth="1"/>
    <col min="13" max="13" width="14.42578125" style="1" bestFit="1" customWidth="1"/>
    <col min="14" max="14" width="14.42578125" style="1" customWidth="1"/>
    <col min="15" max="15" width="16.42578125" style="1" customWidth="1"/>
    <col min="16" max="16" width="7.7109375" style="1" customWidth="1"/>
    <col min="17" max="16384" width="11.42578125" style="1"/>
  </cols>
  <sheetData>
    <row r="1" spans="2:47" ht="16.5" customHeight="1" x14ac:dyDescent="0.3">
      <c r="Q1" s="166" t="s">
        <v>137</v>
      </c>
      <c r="R1" s="166"/>
      <c r="S1" s="166"/>
      <c r="T1" s="166"/>
      <c r="U1" s="166"/>
      <c r="V1" s="166"/>
      <c r="W1" s="166"/>
      <c r="X1" s="166"/>
      <c r="Y1" s="166"/>
      <c r="Z1" s="166"/>
      <c r="AA1" s="166"/>
      <c r="AC1" s="167" t="s">
        <v>138</v>
      </c>
      <c r="AD1" s="168"/>
      <c r="AE1" s="168"/>
      <c r="AF1" s="168"/>
      <c r="AG1" s="168"/>
      <c r="AH1" s="168"/>
      <c r="AI1" s="168"/>
      <c r="AJ1" s="168"/>
      <c r="AK1" s="168"/>
      <c r="AM1" s="167" t="s">
        <v>211</v>
      </c>
      <c r="AN1" s="168"/>
      <c r="AO1" s="168"/>
      <c r="AP1" s="168"/>
      <c r="AQ1" s="168"/>
      <c r="AR1" s="168"/>
      <c r="AS1" s="168"/>
      <c r="AT1" s="168"/>
      <c r="AU1" s="168"/>
    </row>
    <row r="2" spans="2:47" ht="16.5" customHeight="1" x14ac:dyDescent="0.3">
      <c r="B2" s="156"/>
      <c r="C2" s="156"/>
      <c r="D2" s="156"/>
      <c r="E2" s="156"/>
      <c r="F2" s="156"/>
      <c r="G2" s="156"/>
      <c r="H2" s="156"/>
      <c r="I2" s="156"/>
      <c r="J2" s="156"/>
      <c r="K2" s="156"/>
      <c r="L2" s="156"/>
      <c r="M2" s="156"/>
      <c r="N2" s="156"/>
      <c r="O2" s="156"/>
      <c r="Q2" s="169" t="s">
        <v>140</v>
      </c>
      <c r="R2" s="169"/>
      <c r="S2" s="169"/>
      <c r="T2" s="169"/>
      <c r="U2" s="169"/>
      <c r="V2" s="169"/>
      <c r="W2" s="169"/>
      <c r="X2" s="169"/>
      <c r="Y2" s="169"/>
      <c r="Z2" s="169"/>
      <c r="AA2" s="169"/>
      <c r="AC2" s="170" t="s">
        <v>140</v>
      </c>
      <c r="AD2" s="170"/>
      <c r="AE2" s="170"/>
      <c r="AF2" s="170"/>
      <c r="AG2" s="170"/>
      <c r="AH2" s="170"/>
      <c r="AI2" s="170"/>
      <c r="AJ2" s="170"/>
      <c r="AK2" s="170"/>
      <c r="AM2" s="170" t="s">
        <v>140</v>
      </c>
      <c r="AN2" s="170"/>
      <c r="AO2" s="170"/>
      <c r="AP2" s="170"/>
      <c r="AQ2" s="170"/>
      <c r="AR2" s="170"/>
      <c r="AS2" s="170"/>
      <c r="AT2" s="170"/>
      <c r="AU2" s="170"/>
    </row>
    <row r="3" spans="2:47" ht="24.75" customHeight="1" x14ac:dyDescent="0.3">
      <c r="B3" s="159" t="s">
        <v>136</v>
      </c>
      <c r="C3" s="159"/>
      <c r="D3" s="159"/>
      <c r="E3" s="159"/>
      <c r="F3" s="159"/>
      <c r="G3" s="159"/>
      <c r="H3" s="159"/>
      <c r="I3" s="159"/>
      <c r="J3" s="159"/>
      <c r="K3" s="159"/>
      <c r="L3" s="159"/>
      <c r="M3" s="159"/>
      <c r="N3" s="159"/>
      <c r="O3" s="159"/>
      <c r="Q3" s="171" t="s">
        <v>141</v>
      </c>
      <c r="R3" s="171"/>
      <c r="S3" s="171"/>
      <c r="T3" s="171"/>
      <c r="U3" s="171"/>
      <c r="V3" s="171"/>
      <c r="W3" s="171"/>
      <c r="X3" s="171"/>
      <c r="Y3" s="171"/>
      <c r="Z3" s="171"/>
      <c r="AA3" s="171"/>
      <c r="AC3" s="171" t="s">
        <v>141</v>
      </c>
      <c r="AD3" s="171"/>
      <c r="AE3" s="171"/>
      <c r="AF3" s="171"/>
      <c r="AG3" s="171"/>
      <c r="AH3" s="171"/>
      <c r="AI3" s="171"/>
      <c r="AJ3" s="171"/>
      <c r="AK3" s="171"/>
      <c r="AM3" s="171" t="s">
        <v>141</v>
      </c>
      <c r="AN3" s="171"/>
      <c r="AO3" s="171"/>
      <c r="AP3" s="171"/>
      <c r="AQ3" s="171"/>
      <c r="AR3" s="171"/>
      <c r="AS3" s="171"/>
      <c r="AT3" s="171"/>
      <c r="AU3" s="171"/>
    </row>
    <row r="4" spans="2:47" x14ac:dyDescent="0.3">
      <c r="B4" s="160" t="s">
        <v>51</v>
      </c>
      <c r="C4" s="160"/>
      <c r="D4" s="160"/>
      <c r="E4" s="160"/>
      <c r="F4" s="160"/>
      <c r="G4" s="160"/>
      <c r="H4" s="160"/>
      <c r="I4" s="160"/>
      <c r="J4" s="160"/>
      <c r="K4" s="160"/>
      <c r="L4" s="160"/>
      <c r="M4" s="160"/>
      <c r="N4" s="160"/>
      <c r="O4" s="160"/>
      <c r="Q4" s="102"/>
      <c r="R4" s="102"/>
      <c r="S4" s="102"/>
      <c r="T4" s="102"/>
      <c r="U4" s="102"/>
      <c r="V4" s="102"/>
      <c r="W4" s="102"/>
      <c r="X4" s="102"/>
      <c r="Y4" s="102"/>
      <c r="Z4" s="102"/>
      <c r="AA4" s="102"/>
      <c r="AC4" s="102"/>
      <c r="AD4" s="102"/>
      <c r="AE4" s="102"/>
      <c r="AF4" s="102"/>
      <c r="AG4" s="102"/>
      <c r="AH4" s="102"/>
      <c r="AI4" s="102"/>
      <c r="AJ4" s="102"/>
      <c r="AK4" s="102"/>
      <c r="AM4" s="102"/>
      <c r="AN4" s="102"/>
      <c r="AO4" s="102"/>
      <c r="AP4" s="102"/>
      <c r="AQ4" s="102"/>
      <c r="AR4" s="102"/>
      <c r="AS4" s="102"/>
      <c r="AT4" s="102"/>
      <c r="AU4" s="102"/>
    </row>
    <row r="5" spans="2:47" x14ac:dyDescent="0.3">
      <c r="B5" s="53"/>
      <c r="Q5" s="102"/>
      <c r="R5" s="102"/>
      <c r="S5" s="102"/>
      <c r="T5" s="102"/>
      <c r="U5" s="102"/>
      <c r="V5" s="102"/>
      <c r="W5" s="102"/>
      <c r="X5" s="102"/>
      <c r="Y5" s="102"/>
      <c r="Z5" s="102"/>
      <c r="AA5" s="102"/>
      <c r="AC5" s="102"/>
      <c r="AD5" s="102"/>
      <c r="AE5" s="102"/>
      <c r="AF5" s="102"/>
      <c r="AG5" s="102"/>
      <c r="AH5" s="102"/>
      <c r="AI5" s="102"/>
      <c r="AJ5" s="102"/>
      <c r="AK5" s="102"/>
      <c r="AM5" s="102"/>
      <c r="AN5" s="102"/>
      <c r="AO5" s="102"/>
      <c r="AP5" s="102"/>
      <c r="AQ5" s="102"/>
      <c r="AR5" s="102"/>
      <c r="AS5" s="102"/>
      <c r="AT5" s="102"/>
      <c r="AU5" s="102"/>
    </row>
    <row r="6" spans="2:47" ht="17.25" customHeight="1" thickBot="1" x14ac:dyDescent="0.35">
      <c r="B6" s="161" t="s">
        <v>2</v>
      </c>
      <c r="C6" s="161"/>
      <c r="D6" s="161"/>
      <c r="E6" s="161"/>
      <c r="F6" s="161"/>
      <c r="G6" s="161"/>
      <c r="H6" s="161"/>
      <c r="I6" s="161"/>
      <c r="J6" s="161"/>
      <c r="K6" s="161"/>
      <c r="L6" s="161"/>
      <c r="M6" s="161"/>
      <c r="N6" s="161"/>
      <c r="O6" s="161"/>
      <c r="Q6" s="172" t="s">
        <v>3</v>
      </c>
      <c r="R6" s="173" t="s">
        <v>142</v>
      </c>
      <c r="S6" s="173"/>
      <c r="T6" s="173"/>
      <c r="U6" s="173"/>
      <c r="V6" s="173"/>
      <c r="W6" s="173"/>
      <c r="X6" s="173"/>
      <c r="Y6" s="173"/>
      <c r="Z6" s="172" t="s">
        <v>143</v>
      </c>
      <c r="AA6" s="172" t="s">
        <v>144</v>
      </c>
      <c r="AC6" s="174" t="s">
        <v>3</v>
      </c>
      <c r="AD6" s="175" t="s">
        <v>142</v>
      </c>
      <c r="AE6" s="175"/>
      <c r="AF6" s="175"/>
      <c r="AG6" s="175"/>
      <c r="AH6" s="175"/>
      <c r="AI6" s="175"/>
      <c r="AJ6" s="174" t="s">
        <v>143</v>
      </c>
      <c r="AK6" s="174" t="s">
        <v>144</v>
      </c>
      <c r="AM6" s="176" t="s">
        <v>3</v>
      </c>
      <c r="AN6" s="177" t="s">
        <v>142</v>
      </c>
      <c r="AO6" s="177"/>
      <c r="AP6" s="177"/>
      <c r="AQ6" s="177"/>
      <c r="AR6" s="177"/>
      <c r="AS6" s="177"/>
      <c r="AT6" s="176" t="s">
        <v>143</v>
      </c>
      <c r="AU6" s="176" t="s">
        <v>144</v>
      </c>
    </row>
    <row r="7" spans="2:47" ht="21.75" customHeight="1" x14ac:dyDescent="0.3">
      <c r="B7" s="147" t="s">
        <v>3</v>
      </c>
      <c r="C7" s="149" t="s">
        <v>4</v>
      </c>
      <c r="D7" s="54"/>
      <c r="E7" s="147" t="s">
        <v>5</v>
      </c>
      <c r="F7" s="147"/>
      <c r="G7" s="147"/>
      <c r="H7" s="3"/>
      <c r="I7" s="147" t="s">
        <v>6</v>
      </c>
      <c r="J7" s="147"/>
      <c r="K7" s="147"/>
      <c r="L7" s="3"/>
      <c r="M7" s="147" t="s">
        <v>52</v>
      </c>
      <c r="N7" s="147"/>
      <c r="O7" s="147"/>
      <c r="Q7" s="172"/>
      <c r="R7" s="178" t="s">
        <v>145</v>
      </c>
      <c r="S7" s="178"/>
      <c r="T7" s="178"/>
      <c r="U7" s="184" t="s">
        <v>146</v>
      </c>
      <c r="V7" s="173"/>
      <c r="W7" s="173"/>
      <c r="X7" s="173"/>
      <c r="Y7" s="185" t="s">
        <v>147</v>
      </c>
      <c r="Z7" s="172"/>
      <c r="AA7" s="172"/>
      <c r="AC7" s="174"/>
      <c r="AD7" s="186" t="s">
        <v>145</v>
      </c>
      <c r="AE7" s="188" t="s">
        <v>146</v>
      </c>
      <c r="AF7" s="188"/>
      <c r="AG7" s="188"/>
      <c r="AH7" s="188"/>
      <c r="AI7" s="189" t="s">
        <v>147</v>
      </c>
      <c r="AJ7" s="174"/>
      <c r="AK7" s="174"/>
      <c r="AM7" s="176"/>
      <c r="AN7" s="179" t="s">
        <v>145</v>
      </c>
      <c r="AO7" s="181" t="s">
        <v>148</v>
      </c>
      <c r="AP7" s="181"/>
      <c r="AQ7" s="181"/>
      <c r="AR7" s="181"/>
      <c r="AS7" s="182" t="s">
        <v>147</v>
      </c>
      <c r="AT7" s="176"/>
      <c r="AU7" s="176"/>
    </row>
    <row r="8" spans="2:47" ht="32.25" customHeight="1" thickBot="1" x14ac:dyDescent="0.35">
      <c r="B8" s="148"/>
      <c r="C8" s="150"/>
      <c r="D8" s="5"/>
      <c r="E8" s="4" t="s">
        <v>8</v>
      </c>
      <c r="F8" s="4" t="s">
        <v>9</v>
      </c>
      <c r="G8" s="4" t="s">
        <v>10</v>
      </c>
      <c r="H8" s="5"/>
      <c r="I8" s="4" t="s">
        <v>11</v>
      </c>
      <c r="J8" s="4" t="s">
        <v>12</v>
      </c>
      <c r="K8" s="4" t="s">
        <v>10</v>
      </c>
      <c r="L8" s="5"/>
      <c r="M8" s="4" t="s">
        <v>11</v>
      </c>
      <c r="N8" s="4" t="s">
        <v>12</v>
      </c>
      <c r="O8" s="4" t="s">
        <v>10</v>
      </c>
      <c r="Q8" s="172"/>
      <c r="R8" s="103" t="s">
        <v>149</v>
      </c>
      <c r="S8" s="104" t="s">
        <v>150</v>
      </c>
      <c r="T8" s="105" t="s">
        <v>151</v>
      </c>
      <c r="U8" s="106" t="s">
        <v>152</v>
      </c>
      <c r="V8" s="107" t="s">
        <v>153</v>
      </c>
      <c r="W8" s="107" t="s">
        <v>154</v>
      </c>
      <c r="X8" s="104" t="s">
        <v>151</v>
      </c>
      <c r="Y8" s="185"/>
      <c r="Z8" s="172"/>
      <c r="AA8" s="172"/>
      <c r="AC8" s="174"/>
      <c r="AD8" s="187"/>
      <c r="AE8" s="108" t="s">
        <v>152</v>
      </c>
      <c r="AF8" s="109" t="s">
        <v>155</v>
      </c>
      <c r="AG8" s="109" t="s">
        <v>154</v>
      </c>
      <c r="AH8" s="110" t="s">
        <v>151</v>
      </c>
      <c r="AI8" s="189"/>
      <c r="AJ8" s="174"/>
      <c r="AK8" s="174"/>
      <c r="AM8" s="176"/>
      <c r="AN8" s="180"/>
      <c r="AO8" s="111" t="s">
        <v>152</v>
      </c>
      <c r="AP8" s="112" t="s">
        <v>155</v>
      </c>
      <c r="AQ8" s="112" t="s">
        <v>154</v>
      </c>
      <c r="AR8" s="113" t="s">
        <v>151</v>
      </c>
      <c r="AS8" s="182"/>
      <c r="AT8" s="176"/>
      <c r="AU8" s="176"/>
    </row>
    <row r="9" spans="2:47" ht="20.25" customHeight="1" x14ac:dyDescent="0.3">
      <c r="B9" s="55" t="s">
        <v>13</v>
      </c>
      <c r="C9" s="30">
        <v>145742.89608834035</v>
      </c>
      <c r="D9" s="30"/>
      <c r="E9" s="30">
        <v>24942.811000000002</v>
      </c>
      <c r="F9" s="30">
        <v>15085.736999999996</v>
      </c>
      <c r="G9" s="30">
        <v>9857.0740000000005</v>
      </c>
      <c r="H9" s="30"/>
      <c r="I9" s="30">
        <v>24977.403619999997</v>
      </c>
      <c r="J9" s="30">
        <v>2298.9387300000003</v>
      </c>
      <c r="K9" s="30">
        <v>22678.464889999999</v>
      </c>
      <c r="L9" s="30"/>
      <c r="M9" s="30">
        <v>95822.681468340306</v>
      </c>
      <c r="N9" s="30">
        <v>1627.1440840275895</v>
      </c>
      <c r="O9" s="30">
        <v>94195.537384312716</v>
      </c>
      <c r="Q9" s="114" t="s">
        <v>13</v>
      </c>
      <c r="R9" s="115">
        <f>SUM(R10:R34)</f>
        <v>12860.474999999999</v>
      </c>
      <c r="S9" s="115">
        <f t="shared" ref="S9:Z9" si="0">SUM(S10:S34)</f>
        <v>2225.2619999999997</v>
      </c>
      <c r="T9" s="115">
        <f t="shared" si="0"/>
        <v>15085.736999999996</v>
      </c>
      <c r="U9" s="115">
        <f t="shared" si="0"/>
        <v>7725.2880000000014</v>
      </c>
      <c r="V9" s="115">
        <f t="shared" si="0"/>
        <v>1255.57</v>
      </c>
      <c r="W9" s="115">
        <f t="shared" si="0"/>
        <v>876.21600000000012</v>
      </c>
      <c r="X9" s="115">
        <f t="shared" si="0"/>
        <v>9857.0740000000005</v>
      </c>
      <c r="Y9" s="115">
        <f t="shared" si="0"/>
        <v>24942.811000000002</v>
      </c>
      <c r="Z9" s="115">
        <f t="shared" si="0"/>
        <v>1916.579</v>
      </c>
      <c r="AA9" s="115">
        <f>SUM(AA10:AA34)</f>
        <v>26859.389999999992</v>
      </c>
      <c r="AC9" s="116" t="s">
        <v>13</v>
      </c>
      <c r="AD9" s="116">
        <f>SUM(AD10:AD34)</f>
        <v>2298.9387300000003</v>
      </c>
      <c r="AE9" s="116">
        <f t="shared" ref="AE9:AJ9" si="1">SUM(AE10:AE34)</f>
        <v>14597.831221000004</v>
      </c>
      <c r="AF9" s="116">
        <f t="shared" si="1"/>
        <v>4491.0372180000013</v>
      </c>
      <c r="AG9" s="116">
        <f t="shared" si="1"/>
        <v>3589.5964509999999</v>
      </c>
      <c r="AH9" s="116">
        <f t="shared" si="1"/>
        <v>22678.464889999999</v>
      </c>
      <c r="AI9" s="116">
        <f t="shared" si="1"/>
        <v>24977.403619999997</v>
      </c>
      <c r="AJ9" s="116">
        <f t="shared" si="1"/>
        <v>4146.2450089999993</v>
      </c>
      <c r="AK9" s="116">
        <f>SUM(AK10:AK34)</f>
        <v>29123.648629000003</v>
      </c>
      <c r="AM9" s="117" t="s">
        <v>13</v>
      </c>
      <c r="AN9" s="117">
        <f>SUM(AN10:AN34)</f>
        <v>1627.1440840275895</v>
      </c>
      <c r="AO9" s="117">
        <f t="shared" ref="AO9:AT9" si="2">SUM(AO10:AO34)</f>
        <v>20260.043364154171</v>
      </c>
      <c r="AP9" s="117">
        <f t="shared" si="2"/>
        <v>23983.024886632218</v>
      </c>
      <c r="AQ9" s="117">
        <f t="shared" si="2"/>
        <v>49952.469133526327</v>
      </c>
      <c r="AR9" s="117">
        <f t="shared" si="2"/>
        <v>94195.537384312716</v>
      </c>
      <c r="AS9" s="117">
        <f t="shared" si="2"/>
        <v>95822.681468340306</v>
      </c>
      <c r="AT9" s="117">
        <f t="shared" si="2"/>
        <v>2081.21</v>
      </c>
      <c r="AU9" s="117">
        <f>SUM(AU10:AU34)</f>
        <v>97903.891468340327</v>
      </c>
    </row>
    <row r="10" spans="2:47" s="44" customFormat="1" ht="13.5" customHeight="1" x14ac:dyDescent="0.25">
      <c r="B10" s="11" t="s">
        <v>14</v>
      </c>
      <c r="C10" s="33">
        <v>3311.9879999999994</v>
      </c>
      <c r="D10" s="33"/>
      <c r="E10" s="33">
        <v>851.06700000000001</v>
      </c>
      <c r="F10" s="33">
        <v>489.05000000000007</v>
      </c>
      <c r="G10" s="39">
        <v>362.017</v>
      </c>
      <c r="H10" s="35"/>
      <c r="I10" s="33">
        <v>716.99099999999987</v>
      </c>
      <c r="J10" s="33">
        <v>31.281709000000003</v>
      </c>
      <c r="K10" s="33">
        <v>685.70929099999989</v>
      </c>
      <c r="L10" s="35"/>
      <c r="M10" s="33">
        <v>1743.9299999999994</v>
      </c>
      <c r="N10" s="33">
        <v>0</v>
      </c>
      <c r="O10" s="33">
        <v>1743.9299999999994</v>
      </c>
      <c r="P10" s="56"/>
      <c r="Q10" s="56" t="s">
        <v>156</v>
      </c>
      <c r="R10" s="118">
        <v>314.50800000000004</v>
      </c>
      <c r="S10" s="118">
        <v>174.542</v>
      </c>
      <c r="T10" s="118">
        <v>489.05000000000007</v>
      </c>
      <c r="U10" s="12">
        <v>362.017</v>
      </c>
      <c r="V10" s="12"/>
      <c r="W10" s="12"/>
      <c r="X10" s="118">
        <v>362.017</v>
      </c>
      <c r="Y10" s="118">
        <v>851.06700000000001</v>
      </c>
      <c r="Z10" s="118">
        <v>32.527000000000001</v>
      </c>
      <c r="AA10" s="118">
        <v>883.59400000000005</v>
      </c>
      <c r="AC10" s="44" t="s">
        <v>156</v>
      </c>
      <c r="AD10" s="12">
        <v>31.281709000000003</v>
      </c>
      <c r="AE10" s="12">
        <v>18.429867000000002</v>
      </c>
      <c r="AF10" s="12">
        <v>489.98696999999993</v>
      </c>
      <c r="AG10" s="12">
        <v>177.29245399999999</v>
      </c>
      <c r="AH10" s="12">
        <v>685.70929099999989</v>
      </c>
      <c r="AI10" s="12">
        <v>716.99099999999987</v>
      </c>
      <c r="AJ10" s="12">
        <v>43.186999999999998</v>
      </c>
      <c r="AK10" s="12">
        <v>760.17799999999988</v>
      </c>
      <c r="AL10" s="12"/>
      <c r="AM10" s="44" t="s">
        <v>156</v>
      </c>
      <c r="AN10" s="12">
        <v>0</v>
      </c>
      <c r="AO10" s="12">
        <v>997.8899999999993</v>
      </c>
      <c r="AP10" s="12">
        <v>536.96</v>
      </c>
      <c r="AQ10" s="12">
        <v>209.07999999999998</v>
      </c>
      <c r="AR10" s="12">
        <v>1743.9299999999994</v>
      </c>
      <c r="AS10" s="12">
        <v>1743.9299999999994</v>
      </c>
      <c r="AT10" s="12">
        <v>0</v>
      </c>
      <c r="AU10" s="12">
        <v>1743.9299999999994</v>
      </c>
    </row>
    <row r="11" spans="2:47" s="44" customFormat="1" ht="13.5" customHeight="1" x14ac:dyDescent="0.25">
      <c r="B11" s="7" t="s">
        <v>15</v>
      </c>
      <c r="C11" s="33">
        <v>9826.4339999999975</v>
      </c>
      <c r="D11" s="33"/>
      <c r="E11" s="33">
        <v>1620.579</v>
      </c>
      <c r="F11" s="33">
        <v>932.38400000000001</v>
      </c>
      <c r="G11" s="39">
        <v>688.19499999999994</v>
      </c>
      <c r="H11" s="35"/>
      <c r="I11" s="33">
        <v>1480.7649999999999</v>
      </c>
      <c r="J11" s="33">
        <v>215.04999999999998</v>
      </c>
      <c r="K11" s="33">
        <v>1265.7149999999999</v>
      </c>
      <c r="L11" s="35"/>
      <c r="M11" s="33">
        <v>6725.0899999999983</v>
      </c>
      <c r="N11" s="33">
        <v>82.500000000000014</v>
      </c>
      <c r="O11" s="33">
        <v>6642.5899999999983</v>
      </c>
      <c r="P11" s="56"/>
      <c r="Q11" s="56" t="s">
        <v>157</v>
      </c>
      <c r="R11" s="118">
        <v>877.00200000000007</v>
      </c>
      <c r="S11" s="118">
        <v>55.382000000000005</v>
      </c>
      <c r="T11" s="118">
        <v>932.38400000000001</v>
      </c>
      <c r="U11" s="12">
        <v>634.29299999999989</v>
      </c>
      <c r="V11" s="12">
        <v>6.6829999999999998</v>
      </c>
      <c r="W11" s="12">
        <v>47.219000000000001</v>
      </c>
      <c r="X11" s="118">
        <v>688.19499999999994</v>
      </c>
      <c r="Y11" s="118">
        <v>1620.579</v>
      </c>
      <c r="Z11" s="118">
        <v>72.798999999999992</v>
      </c>
      <c r="AA11" s="118">
        <v>1693.3779999999999</v>
      </c>
      <c r="AC11" s="44" t="s">
        <v>157</v>
      </c>
      <c r="AD11" s="12">
        <v>215.04999999999998</v>
      </c>
      <c r="AE11" s="12">
        <v>1256.1849999999999</v>
      </c>
      <c r="AF11" s="12">
        <v>1.66</v>
      </c>
      <c r="AG11" s="12">
        <v>7.87</v>
      </c>
      <c r="AH11" s="12">
        <v>1265.7149999999999</v>
      </c>
      <c r="AI11" s="12">
        <v>1480.7649999999999</v>
      </c>
      <c r="AJ11" s="12"/>
      <c r="AK11" s="12">
        <v>1480.7649999999999</v>
      </c>
      <c r="AL11" s="12"/>
      <c r="AM11" s="44" t="s">
        <v>157</v>
      </c>
      <c r="AN11" s="12">
        <v>82.500000000000014</v>
      </c>
      <c r="AO11" s="12">
        <v>1024.1599999999999</v>
      </c>
      <c r="AP11" s="12">
        <v>1389.1800000000003</v>
      </c>
      <c r="AQ11" s="12">
        <v>4229.2499999999982</v>
      </c>
      <c r="AR11" s="12">
        <v>6642.5899999999983</v>
      </c>
      <c r="AS11" s="12">
        <v>6725.0899999999983</v>
      </c>
      <c r="AT11" s="12">
        <v>70.44</v>
      </c>
      <c r="AU11" s="12">
        <v>6795.5299999999988</v>
      </c>
    </row>
    <row r="12" spans="2:47" s="44" customFormat="1" ht="13.5" customHeight="1" x14ac:dyDescent="0.25">
      <c r="B12" s="7" t="s">
        <v>16</v>
      </c>
      <c r="C12" s="33">
        <v>7101.228000000001</v>
      </c>
      <c r="D12" s="33"/>
      <c r="E12" s="33">
        <v>1104.518</v>
      </c>
      <c r="F12" s="33">
        <v>576.36699999999996</v>
      </c>
      <c r="G12" s="39">
        <v>528.15099999999995</v>
      </c>
      <c r="H12" s="35"/>
      <c r="I12" s="33">
        <v>1325.97</v>
      </c>
      <c r="J12" s="33">
        <v>0</v>
      </c>
      <c r="K12" s="33">
        <v>1325.97</v>
      </c>
      <c r="L12" s="35"/>
      <c r="M12" s="33">
        <v>4670.7400000000007</v>
      </c>
      <c r="N12" s="33">
        <v>5.49</v>
      </c>
      <c r="O12" s="33">
        <v>4665.2500000000009</v>
      </c>
      <c r="P12" s="56"/>
      <c r="Q12" s="56" t="s">
        <v>158</v>
      </c>
      <c r="R12" s="118">
        <v>428.83999999999992</v>
      </c>
      <c r="S12" s="118">
        <v>147.52699999999999</v>
      </c>
      <c r="T12" s="118">
        <v>576.36699999999996</v>
      </c>
      <c r="U12" s="12">
        <v>528.15099999999995</v>
      </c>
      <c r="V12" s="12"/>
      <c r="W12" s="12"/>
      <c r="X12" s="118">
        <v>528.15099999999995</v>
      </c>
      <c r="Y12" s="118">
        <v>1104.518</v>
      </c>
      <c r="Z12" s="118"/>
      <c r="AA12" s="118">
        <v>1104.518</v>
      </c>
      <c r="AC12" s="44" t="s">
        <v>158</v>
      </c>
      <c r="AD12" s="12"/>
      <c r="AE12" s="12">
        <v>484.42</v>
      </c>
      <c r="AF12" s="12">
        <v>652.84</v>
      </c>
      <c r="AG12" s="12">
        <v>188.70999999999998</v>
      </c>
      <c r="AH12" s="12">
        <v>1325.97</v>
      </c>
      <c r="AI12" s="12">
        <v>1325.97</v>
      </c>
      <c r="AJ12" s="12">
        <v>189.29000000000002</v>
      </c>
      <c r="AK12" s="12">
        <v>1515.26</v>
      </c>
      <c r="AL12" s="12"/>
      <c r="AM12" s="44" t="s">
        <v>158</v>
      </c>
      <c r="AN12" s="12">
        <v>5.49</v>
      </c>
      <c r="AO12" s="12">
        <v>804.42000000000007</v>
      </c>
      <c r="AP12" s="12">
        <v>1473.3900000000006</v>
      </c>
      <c r="AQ12" s="12">
        <v>2387.44</v>
      </c>
      <c r="AR12" s="12">
        <v>4665.2500000000009</v>
      </c>
      <c r="AS12" s="12">
        <v>4670.7400000000016</v>
      </c>
      <c r="AT12" s="12">
        <v>49.76</v>
      </c>
      <c r="AU12" s="12">
        <v>4720.5000000000018</v>
      </c>
    </row>
    <row r="13" spans="2:47" s="44" customFormat="1" ht="13.5" customHeight="1" x14ac:dyDescent="0.25">
      <c r="B13" s="7" t="s">
        <v>17</v>
      </c>
      <c r="C13" s="33">
        <v>8848.9599999999991</v>
      </c>
      <c r="D13" s="33"/>
      <c r="E13" s="33">
        <v>1435.4669999999996</v>
      </c>
      <c r="F13" s="33">
        <v>989.35299999999961</v>
      </c>
      <c r="G13" s="39">
        <v>446.11399999999998</v>
      </c>
      <c r="H13" s="35"/>
      <c r="I13" s="33">
        <v>1743.9929999999999</v>
      </c>
      <c r="J13" s="33">
        <v>531.20000000000005</v>
      </c>
      <c r="K13" s="33">
        <v>1212.7929999999999</v>
      </c>
      <c r="L13" s="35"/>
      <c r="M13" s="33">
        <v>5669.4999999999991</v>
      </c>
      <c r="N13" s="33">
        <v>211.97999999999996</v>
      </c>
      <c r="O13" s="33">
        <v>5457.5199999999995</v>
      </c>
      <c r="P13" s="56"/>
      <c r="Q13" s="56" t="s">
        <v>159</v>
      </c>
      <c r="R13" s="118">
        <v>989.35299999999961</v>
      </c>
      <c r="S13" s="118"/>
      <c r="T13" s="118">
        <v>989.35299999999961</v>
      </c>
      <c r="U13" s="12">
        <v>257.17099999999999</v>
      </c>
      <c r="V13" s="12">
        <v>184.31399999999999</v>
      </c>
      <c r="W13" s="12">
        <v>4.6289999999999996</v>
      </c>
      <c r="X13" s="118">
        <v>446.11399999999998</v>
      </c>
      <c r="Y13" s="118">
        <v>1435.4669999999996</v>
      </c>
      <c r="Z13" s="118">
        <v>64.742000000000004</v>
      </c>
      <c r="AA13" s="118">
        <v>1500.2089999999996</v>
      </c>
      <c r="AC13" s="44" t="s">
        <v>159</v>
      </c>
      <c r="AD13" s="12">
        <v>531.20000000000005</v>
      </c>
      <c r="AE13" s="12">
        <v>392.10400000000004</v>
      </c>
      <c r="AF13" s="12">
        <v>645.83299999999997</v>
      </c>
      <c r="AG13" s="12">
        <v>174.85599999999997</v>
      </c>
      <c r="AH13" s="12">
        <v>1212.7929999999999</v>
      </c>
      <c r="AI13" s="12">
        <v>1743.9929999999999</v>
      </c>
      <c r="AJ13" s="12">
        <v>28.599999999999998</v>
      </c>
      <c r="AK13" s="12">
        <v>1772.5929999999998</v>
      </c>
      <c r="AL13" s="12"/>
      <c r="AM13" s="44" t="s">
        <v>159</v>
      </c>
      <c r="AN13" s="12">
        <v>211.97999999999996</v>
      </c>
      <c r="AO13" s="12">
        <v>701.81999999999994</v>
      </c>
      <c r="AP13" s="12">
        <v>291.47999999999996</v>
      </c>
      <c r="AQ13" s="12">
        <v>4464.22</v>
      </c>
      <c r="AR13" s="12">
        <v>5457.5199999999995</v>
      </c>
      <c r="AS13" s="12">
        <v>5669.4999999999991</v>
      </c>
      <c r="AT13" s="12">
        <v>19.52</v>
      </c>
      <c r="AU13" s="12">
        <v>5689.0199999999995</v>
      </c>
    </row>
    <row r="14" spans="2:47" s="44" customFormat="1" ht="13.5" customHeight="1" x14ac:dyDescent="0.25">
      <c r="B14" s="7" t="s">
        <v>18</v>
      </c>
      <c r="C14" s="33">
        <v>11613.838000000011</v>
      </c>
      <c r="D14" s="33"/>
      <c r="E14" s="33">
        <v>1764.3679999999999</v>
      </c>
      <c r="F14" s="33">
        <v>473.06099999999992</v>
      </c>
      <c r="G14" s="39">
        <v>1291.307</v>
      </c>
      <c r="H14" s="35"/>
      <c r="I14" s="33">
        <v>1812.5400000000002</v>
      </c>
      <c r="J14" s="33">
        <v>0</v>
      </c>
      <c r="K14" s="33">
        <v>1812.5400000000002</v>
      </c>
      <c r="L14" s="35"/>
      <c r="M14" s="33">
        <v>8036.9300000000112</v>
      </c>
      <c r="N14" s="33">
        <v>32.53</v>
      </c>
      <c r="O14" s="33">
        <v>8004.4000000000115</v>
      </c>
      <c r="P14" s="56"/>
      <c r="Q14" s="56" t="s">
        <v>160</v>
      </c>
      <c r="R14" s="118">
        <v>472.19599999999991</v>
      </c>
      <c r="S14" s="118">
        <v>0.86499999999999999</v>
      </c>
      <c r="T14" s="118">
        <v>473.06099999999992</v>
      </c>
      <c r="U14" s="12">
        <v>1232.396</v>
      </c>
      <c r="V14" s="12">
        <v>44.973999999999997</v>
      </c>
      <c r="W14" s="12">
        <v>13.937000000000001</v>
      </c>
      <c r="X14" s="118">
        <v>1291.307</v>
      </c>
      <c r="Y14" s="118">
        <v>1764.3679999999999</v>
      </c>
      <c r="Z14" s="118"/>
      <c r="AA14" s="118">
        <v>1764.3679999999999</v>
      </c>
      <c r="AC14" s="44" t="s">
        <v>160</v>
      </c>
      <c r="AD14" s="12"/>
      <c r="AE14" s="12">
        <v>1507.7100000000003</v>
      </c>
      <c r="AF14" s="12">
        <v>117.50999999999999</v>
      </c>
      <c r="AG14" s="12">
        <v>187.32</v>
      </c>
      <c r="AH14" s="12">
        <v>1812.5400000000002</v>
      </c>
      <c r="AI14" s="12">
        <v>1812.5400000000002</v>
      </c>
      <c r="AJ14" s="12">
        <v>120.89500000000001</v>
      </c>
      <c r="AK14" s="12">
        <v>1933.4350000000002</v>
      </c>
      <c r="AL14" s="12"/>
      <c r="AM14" s="44" t="s">
        <v>160</v>
      </c>
      <c r="AN14" s="12">
        <v>32.53</v>
      </c>
      <c r="AO14" s="12">
        <v>1707.059999999997</v>
      </c>
      <c r="AP14" s="12">
        <v>2517.91</v>
      </c>
      <c r="AQ14" s="12">
        <v>3779.4300000000144</v>
      </c>
      <c r="AR14" s="12">
        <v>8004.4000000000115</v>
      </c>
      <c r="AS14" s="12">
        <v>8036.9300000000112</v>
      </c>
      <c r="AT14" s="12">
        <v>175.28</v>
      </c>
      <c r="AU14" s="12">
        <v>8212.2100000000119</v>
      </c>
    </row>
    <row r="15" spans="2:47" s="44" customFormat="1" ht="13.5" customHeight="1" x14ac:dyDescent="0.25">
      <c r="B15" s="7" t="s">
        <v>19</v>
      </c>
      <c r="C15" s="33">
        <v>10727.64484739498</v>
      </c>
      <c r="D15" s="33"/>
      <c r="E15" s="33">
        <v>1738.634</v>
      </c>
      <c r="F15" s="33">
        <v>943.84099999999989</v>
      </c>
      <c r="G15" s="39">
        <v>794.79300000000012</v>
      </c>
      <c r="H15" s="35"/>
      <c r="I15" s="33">
        <v>855.70247000000006</v>
      </c>
      <c r="J15" s="33">
        <v>31.849969999999999</v>
      </c>
      <c r="K15" s="33">
        <v>823.85250000000008</v>
      </c>
      <c r="L15" s="35"/>
      <c r="M15" s="33">
        <v>8133.3083773949802</v>
      </c>
      <c r="N15" s="33">
        <v>16.21</v>
      </c>
      <c r="O15" s="33">
        <v>8117.0983773949802</v>
      </c>
      <c r="P15" s="56"/>
      <c r="Q15" s="56" t="s">
        <v>161</v>
      </c>
      <c r="R15" s="118">
        <v>731.64</v>
      </c>
      <c r="S15" s="118">
        <v>212.20099999999996</v>
      </c>
      <c r="T15" s="118">
        <v>943.84099999999989</v>
      </c>
      <c r="U15" s="12">
        <v>644.40100000000018</v>
      </c>
      <c r="V15" s="12">
        <v>148.62700000000001</v>
      </c>
      <c r="W15" s="12">
        <v>1.7649999999999999</v>
      </c>
      <c r="X15" s="118">
        <v>794.79300000000012</v>
      </c>
      <c r="Y15" s="118">
        <v>1738.634</v>
      </c>
      <c r="Z15" s="118">
        <v>11.718999999999999</v>
      </c>
      <c r="AA15" s="118">
        <v>1750.3530000000001</v>
      </c>
      <c r="AC15" s="44" t="s">
        <v>161</v>
      </c>
      <c r="AD15" s="12">
        <v>31.849969999999999</v>
      </c>
      <c r="AE15" s="12">
        <v>408.45</v>
      </c>
      <c r="AF15" s="12">
        <v>300.2555000000001</v>
      </c>
      <c r="AG15" s="12">
        <v>115.14700000000001</v>
      </c>
      <c r="AH15" s="12">
        <v>823.85250000000008</v>
      </c>
      <c r="AI15" s="12">
        <v>855.70247000000006</v>
      </c>
      <c r="AJ15" s="12">
        <v>21.0182</v>
      </c>
      <c r="AK15" s="12">
        <v>876.72067000000004</v>
      </c>
      <c r="AL15" s="12"/>
      <c r="AM15" s="44" t="s">
        <v>161</v>
      </c>
      <c r="AN15" s="12">
        <v>16.21</v>
      </c>
      <c r="AO15" s="12">
        <v>2733.7662442184801</v>
      </c>
      <c r="AP15" s="12">
        <v>1340.9021331765002</v>
      </c>
      <c r="AQ15" s="12">
        <v>4042.4299999999994</v>
      </c>
      <c r="AR15" s="12">
        <v>8117.0983773949802</v>
      </c>
      <c r="AS15" s="12">
        <v>8133.3083773949802</v>
      </c>
      <c r="AT15" s="12">
        <v>307.2299999999999</v>
      </c>
      <c r="AU15" s="12">
        <v>8440.5383773949798</v>
      </c>
    </row>
    <row r="16" spans="2:47" s="44" customFormat="1" ht="13.5" customHeight="1" x14ac:dyDescent="0.25">
      <c r="B16" s="7" t="s">
        <v>20</v>
      </c>
      <c r="C16" s="33">
        <v>64.935000000000002</v>
      </c>
      <c r="D16" s="33"/>
      <c r="E16" s="33">
        <v>13.094999999999999</v>
      </c>
      <c r="F16" s="33">
        <v>13.094999999999999</v>
      </c>
      <c r="G16" s="39">
        <v>0</v>
      </c>
      <c r="H16" s="35"/>
      <c r="I16" s="33">
        <v>51.84</v>
      </c>
      <c r="J16" s="33">
        <v>51.84</v>
      </c>
      <c r="K16" s="33">
        <v>0</v>
      </c>
      <c r="L16" s="35"/>
      <c r="M16" s="33">
        <v>0</v>
      </c>
      <c r="N16" s="33">
        <v>0</v>
      </c>
      <c r="O16" s="33">
        <v>0</v>
      </c>
      <c r="P16" s="56"/>
      <c r="Q16" s="56" t="s">
        <v>162</v>
      </c>
      <c r="R16" s="118">
        <v>13.094999999999999</v>
      </c>
      <c r="S16" s="118"/>
      <c r="T16" s="118">
        <v>13.094999999999999</v>
      </c>
      <c r="U16" s="12"/>
      <c r="V16" s="12"/>
      <c r="W16" s="12"/>
      <c r="X16" s="118">
        <v>0</v>
      </c>
      <c r="Y16" s="118">
        <v>13.094999999999999</v>
      </c>
      <c r="Z16" s="118"/>
      <c r="AA16" s="118">
        <v>13.094999999999999</v>
      </c>
      <c r="AC16" s="44" t="s">
        <v>162</v>
      </c>
      <c r="AD16" s="12">
        <v>51.84</v>
      </c>
      <c r="AE16" s="12"/>
      <c r="AF16" s="12"/>
      <c r="AG16" s="12"/>
      <c r="AH16" s="12">
        <v>0</v>
      </c>
      <c r="AI16" s="12">
        <v>51.84</v>
      </c>
      <c r="AJ16" s="12"/>
      <c r="AK16" s="12">
        <v>51.84</v>
      </c>
      <c r="AL16" s="12"/>
      <c r="AM16" s="44" t="s">
        <v>162</v>
      </c>
      <c r="AN16" s="12">
        <v>0</v>
      </c>
      <c r="AO16" s="12">
        <v>0</v>
      </c>
      <c r="AP16" s="12">
        <v>0</v>
      </c>
      <c r="AQ16" s="12">
        <v>0</v>
      </c>
      <c r="AR16" s="12">
        <v>0</v>
      </c>
      <c r="AS16" s="12">
        <v>0</v>
      </c>
      <c r="AT16" s="12">
        <v>0</v>
      </c>
      <c r="AU16" s="12">
        <v>0</v>
      </c>
    </row>
    <row r="17" spans="2:47" s="44" customFormat="1" ht="13.5" customHeight="1" x14ac:dyDescent="0.25">
      <c r="B17" s="7" t="s">
        <v>21</v>
      </c>
      <c r="C17" s="33">
        <v>13184.330158999997</v>
      </c>
      <c r="D17" s="33"/>
      <c r="E17" s="33">
        <v>1819.3579999999997</v>
      </c>
      <c r="F17" s="33">
        <v>1111.0579999999995</v>
      </c>
      <c r="G17" s="39">
        <v>708.30000000000018</v>
      </c>
      <c r="H17" s="35"/>
      <c r="I17" s="33">
        <v>2647.0521590000003</v>
      </c>
      <c r="J17" s="33">
        <v>84.16</v>
      </c>
      <c r="K17" s="33">
        <v>2562.8921590000004</v>
      </c>
      <c r="L17" s="35"/>
      <c r="M17" s="33">
        <v>8717.9199999999964</v>
      </c>
      <c r="N17" s="33">
        <v>47.19</v>
      </c>
      <c r="O17" s="33">
        <v>8670.7299999999959</v>
      </c>
      <c r="P17" s="56"/>
      <c r="Q17" s="56" t="s">
        <v>163</v>
      </c>
      <c r="R17" s="118">
        <v>858.0359999999996</v>
      </c>
      <c r="S17" s="118">
        <v>253.02200000000005</v>
      </c>
      <c r="T17" s="118">
        <v>1111.0579999999995</v>
      </c>
      <c r="U17" s="12">
        <v>549.82400000000018</v>
      </c>
      <c r="V17" s="12">
        <v>158.47600000000003</v>
      </c>
      <c r="W17" s="12"/>
      <c r="X17" s="118">
        <v>708.30000000000018</v>
      </c>
      <c r="Y17" s="118">
        <v>1819.3579999999997</v>
      </c>
      <c r="Z17" s="118">
        <v>183.83699999999999</v>
      </c>
      <c r="AA17" s="118">
        <v>2003.1949999999997</v>
      </c>
      <c r="AC17" s="44" t="s">
        <v>163</v>
      </c>
      <c r="AD17" s="12">
        <v>84.16</v>
      </c>
      <c r="AE17" s="12">
        <v>1939.8000000000004</v>
      </c>
      <c r="AF17" s="12">
        <v>159.49215899999999</v>
      </c>
      <c r="AG17" s="12">
        <v>463.59999999999991</v>
      </c>
      <c r="AH17" s="12">
        <v>2562.8921590000004</v>
      </c>
      <c r="AI17" s="12">
        <v>2647.0521590000003</v>
      </c>
      <c r="AJ17" s="12">
        <v>390.49</v>
      </c>
      <c r="AK17" s="12">
        <v>3037.5421590000005</v>
      </c>
      <c r="AL17" s="12"/>
      <c r="AM17" s="44" t="s">
        <v>163</v>
      </c>
      <c r="AN17" s="12">
        <v>47.19</v>
      </c>
      <c r="AO17" s="12">
        <v>2128.5199999999995</v>
      </c>
      <c r="AP17" s="12">
        <v>1520.87</v>
      </c>
      <c r="AQ17" s="12">
        <v>5021.3399999999974</v>
      </c>
      <c r="AR17" s="12">
        <v>8670.7299999999959</v>
      </c>
      <c r="AS17" s="12">
        <v>8717.9199999999946</v>
      </c>
      <c r="AT17" s="12">
        <v>183.61</v>
      </c>
      <c r="AU17" s="12">
        <v>8901.5299999999952</v>
      </c>
    </row>
    <row r="18" spans="2:47" s="44" customFormat="1" ht="13.5" customHeight="1" x14ac:dyDescent="0.25">
      <c r="B18" s="7" t="s">
        <v>22</v>
      </c>
      <c r="C18" s="33">
        <v>7701.68</v>
      </c>
      <c r="D18" s="33"/>
      <c r="E18" s="33">
        <v>1427.4299999999998</v>
      </c>
      <c r="F18" s="33">
        <v>512.84</v>
      </c>
      <c r="G18" s="39">
        <v>914.58999999999992</v>
      </c>
      <c r="H18" s="35"/>
      <c r="I18" s="33">
        <v>1431.8400000000001</v>
      </c>
      <c r="J18" s="33">
        <v>0</v>
      </c>
      <c r="K18" s="33">
        <v>1431.8400000000001</v>
      </c>
      <c r="L18" s="35"/>
      <c r="M18" s="33">
        <v>4842.41</v>
      </c>
      <c r="N18" s="33">
        <v>0</v>
      </c>
      <c r="O18" s="33">
        <v>4842.41</v>
      </c>
      <c r="P18" s="56"/>
      <c r="Q18" s="56" t="s">
        <v>164</v>
      </c>
      <c r="R18" s="118">
        <v>242.24200000000005</v>
      </c>
      <c r="S18" s="118">
        <v>270.59800000000001</v>
      </c>
      <c r="T18" s="118">
        <v>512.84</v>
      </c>
      <c r="U18" s="12">
        <v>780.11599999999999</v>
      </c>
      <c r="V18" s="12">
        <v>93.135000000000005</v>
      </c>
      <c r="W18" s="12">
        <v>41.338999999999999</v>
      </c>
      <c r="X18" s="118">
        <v>914.58999999999992</v>
      </c>
      <c r="Y18" s="118">
        <v>1427.4299999999998</v>
      </c>
      <c r="Z18" s="118">
        <v>16.71</v>
      </c>
      <c r="AA18" s="118">
        <v>1444.1399999999999</v>
      </c>
      <c r="AC18" s="44" t="s">
        <v>164</v>
      </c>
      <c r="AD18" s="12"/>
      <c r="AE18" s="12">
        <v>612.17000000000019</v>
      </c>
      <c r="AF18" s="12">
        <v>723.63</v>
      </c>
      <c r="AG18" s="12">
        <v>96.039999999999992</v>
      </c>
      <c r="AH18" s="12">
        <v>1431.8400000000001</v>
      </c>
      <c r="AI18" s="12">
        <v>1431.8400000000001</v>
      </c>
      <c r="AJ18" s="12">
        <v>0.01</v>
      </c>
      <c r="AK18" s="12">
        <v>1431.8500000000001</v>
      </c>
      <c r="AL18" s="12"/>
      <c r="AM18" s="44" t="s">
        <v>164</v>
      </c>
      <c r="AN18" s="12">
        <v>0</v>
      </c>
      <c r="AO18" s="12">
        <v>735.79</v>
      </c>
      <c r="AP18" s="12">
        <v>1607.75</v>
      </c>
      <c r="AQ18" s="12">
        <v>2498.8700000000003</v>
      </c>
      <c r="AR18" s="12">
        <v>4842.41</v>
      </c>
      <c r="AS18" s="12">
        <v>4842.41</v>
      </c>
      <c r="AT18" s="12">
        <v>21.68</v>
      </c>
      <c r="AU18" s="12">
        <v>4864.09</v>
      </c>
    </row>
    <row r="19" spans="2:47" s="44" customFormat="1" ht="13.5" customHeight="1" x14ac:dyDescent="0.25">
      <c r="B19" s="7" t="s">
        <v>23</v>
      </c>
      <c r="C19" s="33">
        <v>5397.4179999999997</v>
      </c>
      <c r="D19" s="33"/>
      <c r="E19" s="33">
        <v>989.9140000000001</v>
      </c>
      <c r="F19" s="33">
        <v>553.32000000000005</v>
      </c>
      <c r="G19" s="39">
        <v>436.59400000000005</v>
      </c>
      <c r="H19" s="35"/>
      <c r="I19" s="33">
        <v>711.83399999999995</v>
      </c>
      <c r="J19" s="33">
        <v>15.984877000000001</v>
      </c>
      <c r="K19" s="33">
        <v>695.84912299999996</v>
      </c>
      <c r="L19" s="35"/>
      <c r="M19" s="33">
        <v>3695.67</v>
      </c>
      <c r="N19" s="33">
        <v>4.2</v>
      </c>
      <c r="O19" s="33">
        <v>3691.4700000000003</v>
      </c>
      <c r="P19" s="56"/>
      <c r="Q19" s="56" t="s">
        <v>165</v>
      </c>
      <c r="R19" s="118">
        <v>303.22700000000003</v>
      </c>
      <c r="S19" s="118">
        <v>250.09300000000002</v>
      </c>
      <c r="T19" s="118">
        <v>553.32000000000005</v>
      </c>
      <c r="U19" s="12">
        <v>158.40700000000001</v>
      </c>
      <c r="V19" s="12">
        <v>78.183999999999997</v>
      </c>
      <c r="W19" s="12">
        <v>200.00300000000004</v>
      </c>
      <c r="X19" s="118">
        <v>436.59400000000005</v>
      </c>
      <c r="Y19" s="118">
        <v>989.9140000000001</v>
      </c>
      <c r="Z19" s="118">
        <v>192.536</v>
      </c>
      <c r="AA19" s="118">
        <v>1182.45</v>
      </c>
      <c r="AC19" s="44" t="s">
        <v>165</v>
      </c>
      <c r="AD19" s="12">
        <v>15.984877000000001</v>
      </c>
      <c r="AE19" s="12">
        <v>465.19774799999993</v>
      </c>
      <c r="AF19" s="12">
        <v>67.706760999999986</v>
      </c>
      <c r="AG19" s="12">
        <v>162.944614</v>
      </c>
      <c r="AH19" s="12">
        <v>695.84912299999996</v>
      </c>
      <c r="AI19" s="12">
        <v>711.83399999999995</v>
      </c>
      <c r="AJ19" s="12">
        <v>21.130009000000001</v>
      </c>
      <c r="AK19" s="12">
        <v>732.96400899999992</v>
      </c>
      <c r="AL19" s="12"/>
      <c r="AM19" s="44" t="s">
        <v>165</v>
      </c>
      <c r="AN19" s="12">
        <v>4.2</v>
      </c>
      <c r="AO19" s="12">
        <v>1060.0399999999995</v>
      </c>
      <c r="AP19" s="12">
        <v>935.41000000000031</v>
      </c>
      <c r="AQ19" s="12">
        <v>1696.0200000000004</v>
      </c>
      <c r="AR19" s="12">
        <v>3691.4700000000003</v>
      </c>
      <c r="AS19" s="12">
        <v>3695.67</v>
      </c>
      <c r="AT19" s="12">
        <v>209.69999999999993</v>
      </c>
      <c r="AU19" s="12">
        <v>3905.37</v>
      </c>
    </row>
    <row r="20" spans="2:47" s="44" customFormat="1" ht="13.5" customHeight="1" x14ac:dyDescent="0.25">
      <c r="B20" s="7" t="s">
        <v>24</v>
      </c>
      <c r="C20" s="33">
        <v>3402.4070610000003</v>
      </c>
      <c r="D20" s="33"/>
      <c r="E20" s="33">
        <v>663.19499999999994</v>
      </c>
      <c r="F20" s="33">
        <v>571.96699999999998</v>
      </c>
      <c r="G20" s="39">
        <v>91.228000000000009</v>
      </c>
      <c r="H20" s="35"/>
      <c r="I20" s="33">
        <v>736.811061</v>
      </c>
      <c r="J20" s="33">
        <v>48.943418999999992</v>
      </c>
      <c r="K20" s="33">
        <v>687.86764200000005</v>
      </c>
      <c r="L20" s="35"/>
      <c r="M20" s="33">
        <v>2002.4010000000003</v>
      </c>
      <c r="N20" s="33">
        <v>80.249999999999986</v>
      </c>
      <c r="O20" s="33">
        <v>1922.1510000000003</v>
      </c>
      <c r="P20" s="56"/>
      <c r="Q20" s="56" t="s">
        <v>166</v>
      </c>
      <c r="R20" s="118">
        <v>564.31499999999994</v>
      </c>
      <c r="S20" s="118">
        <v>7.6520000000000001</v>
      </c>
      <c r="T20" s="118">
        <v>571.96699999999998</v>
      </c>
      <c r="U20" s="12">
        <v>73.101000000000013</v>
      </c>
      <c r="V20" s="12"/>
      <c r="W20" s="12">
        <v>18.126999999999999</v>
      </c>
      <c r="X20" s="118">
        <v>91.228000000000009</v>
      </c>
      <c r="Y20" s="118">
        <v>663.19499999999994</v>
      </c>
      <c r="Z20" s="118">
        <v>46.652000000000001</v>
      </c>
      <c r="AA20" s="118">
        <v>709.84699999999998</v>
      </c>
      <c r="AC20" s="44" t="s">
        <v>166</v>
      </c>
      <c r="AD20" s="12">
        <v>48.943418999999992</v>
      </c>
      <c r="AE20" s="12">
        <v>229.25683500000002</v>
      </c>
      <c r="AF20" s="12">
        <v>20.157</v>
      </c>
      <c r="AG20" s="12">
        <v>438.45380700000004</v>
      </c>
      <c r="AH20" s="12">
        <v>687.86764200000005</v>
      </c>
      <c r="AI20" s="12">
        <v>736.811061</v>
      </c>
      <c r="AJ20" s="12">
        <v>36.35</v>
      </c>
      <c r="AK20" s="12">
        <v>773.16106100000002</v>
      </c>
      <c r="AL20" s="12"/>
      <c r="AM20" s="44" t="s">
        <v>166</v>
      </c>
      <c r="AN20" s="12">
        <v>80.249999999999986</v>
      </c>
      <c r="AO20" s="12">
        <v>130.46</v>
      </c>
      <c r="AP20" s="12">
        <v>93.950000000000017</v>
      </c>
      <c r="AQ20" s="12">
        <v>1697.7410000000002</v>
      </c>
      <c r="AR20" s="12">
        <v>1922.1510000000003</v>
      </c>
      <c r="AS20" s="12">
        <v>2002.4010000000003</v>
      </c>
      <c r="AT20" s="12">
        <v>0</v>
      </c>
      <c r="AU20" s="12">
        <v>2002.4010000000003</v>
      </c>
    </row>
    <row r="21" spans="2:47" s="44" customFormat="1" ht="13.5" customHeight="1" x14ac:dyDescent="0.25">
      <c r="B21" s="7" t="s">
        <v>25</v>
      </c>
      <c r="C21" s="33">
        <v>9501.9220840275884</v>
      </c>
      <c r="D21" s="33"/>
      <c r="E21" s="33">
        <v>1329.1349999999998</v>
      </c>
      <c r="F21" s="33">
        <v>917.05699999999979</v>
      </c>
      <c r="G21" s="39">
        <v>412.07799999999997</v>
      </c>
      <c r="H21" s="35"/>
      <c r="I21" s="33">
        <v>895.00000000000034</v>
      </c>
      <c r="J21" s="33">
        <v>14.579999999999998</v>
      </c>
      <c r="K21" s="33">
        <v>880.4200000000003</v>
      </c>
      <c r="L21" s="35"/>
      <c r="M21" s="33">
        <v>7277.7870840275882</v>
      </c>
      <c r="N21" s="33">
        <v>231.60408402758998</v>
      </c>
      <c r="O21" s="33">
        <v>7046.1829999999982</v>
      </c>
      <c r="P21" s="56"/>
      <c r="Q21" s="56" t="s">
        <v>167</v>
      </c>
      <c r="R21" s="118">
        <v>674.16499999999985</v>
      </c>
      <c r="S21" s="118">
        <v>242.89199999999997</v>
      </c>
      <c r="T21" s="118">
        <v>917.05699999999979</v>
      </c>
      <c r="U21" s="12">
        <v>264.06499999999994</v>
      </c>
      <c r="V21" s="12">
        <v>17.257999999999999</v>
      </c>
      <c r="W21" s="12">
        <v>130.755</v>
      </c>
      <c r="X21" s="118">
        <v>412.07799999999997</v>
      </c>
      <c r="Y21" s="118">
        <v>1329.1349999999998</v>
      </c>
      <c r="Z21" s="118">
        <v>89.164000000000001</v>
      </c>
      <c r="AA21" s="118">
        <v>1418.2989999999998</v>
      </c>
      <c r="AC21" s="44" t="s">
        <v>167</v>
      </c>
      <c r="AD21" s="12">
        <v>14.579999999999998</v>
      </c>
      <c r="AE21" s="12">
        <v>804.00000000000034</v>
      </c>
      <c r="AF21" s="12"/>
      <c r="AG21" s="12">
        <v>76.419999999999987</v>
      </c>
      <c r="AH21" s="12">
        <v>880.4200000000003</v>
      </c>
      <c r="AI21" s="12">
        <v>895.00000000000034</v>
      </c>
      <c r="AJ21" s="12">
        <v>41.089999999999996</v>
      </c>
      <c r="AK21" s="12">
        <v>936.09000000000037</v>
      </c>
      <c r="AL21" s="12"/>
      <c r="AM21" s="44" t="s">
        <v>167</v>
      </c>
      <c r="AN21" s="12">
        <v>231.60408402758998</v>
      </c>
      <c r="AO21" s="12">
        <v>2198.9530000000004</v>
      </c>
      <c r="AP21" s="12">
        <v>2647.6899999999982</v>
      </c>
      <c r="AQ21" s="12">
        <v>2199.54</v>
      </c>
      <c r="AR21" s="12">
        <v>7046.1829999999982</v>
      </c>
      <c r="AS21" s="12">
        <v>7277.7870840275882</v>
      </c>
      <c r="AT21" s="12">
        <v>99.019999999999982</v>
      </c>
      <c r="AU21" s="12">
        <v>7376.8070840275877</v>
      </c>
    </row>
    <row r="22" spans="2:47" s="44" customFormat="1" ht="13.5" customHeight="1" x14ac:dyDescent="0.25">
      <c r="B22" s="7" t="s">
        <v>26</v>
      </c>
      <c r="C22" s="33">
        <v>7422.4057194207589</v>
      </c>
      <c r="D22" s="33"/>
      <c r="E22" s="33">
        <v>1243.9579999999996</v>
      </c>
      <c r="F22" s="33">
        <v>524.3739999999998</v>
      </c>
      <c r="G22" s="39">
        <v>719.58399999999983</v>
      </c>
      <c r="H22" s="35"/>
      <c r="I22" s="33">
        <v>1755.5283000000002</v>
      </c>
      <c r="J22" s="33">
        <v>92.001400000000004</v>
      </c>
      <c r="K22" s="33">
        <v>1663.5269000000001</v>
      </c>
      <c r="L22" s="35"/>
      <c r="M22" s="33">
        <v>4422.9194194207594</v>
      </c>
      <c r="N22" s="33">
        <v>164.44</v>
      </c>
      <c r="O22" s="33">
        <v>4258.4794194207598</v>
      </c>
      <c r="P22" s="56"/>
      <c r="Q22" s="56" t="s">
        <v>168</v>
      </c>
      <c r="R22" s="118">
        <v>484.40799999999984</v>
      </c>
      <c r="S22" s="118">
        <v>39.966000000000001</v>
      </c>
      <c r="T22" s="118">
        <v>524.3739999999998</v>
      </c>
      <c r="U22" s="12">
        <v>653.86299999999983</v>
      </c>
      <c r="V22" s="12">
        <v>5.1679999999999993</v>
      </c>
      <c r="W22" s="12">
        <v>60.552999999999997</v>
      </c>
      <c r="X22" s="118">
        <v>719.58399999999983</v>
      </c>
      <c r="Y22" s="118">
        <v>1243.9579999999996</v>
      </c>
      <c r="Z22" s="118">
        <v>100.313</v>
      </c>
      <c r="AA22" s="118">
        <v>1344.2709999999997</v>
      </c>
      <c r="AC22" s="44" t="s">
        <v>168</v>
      </c>
      <c r="AD22" s="12">
        <v>92.001400000000004</v>
      </c>
      <c r="AE22" s="12">
        <v>1311.4009000000001</v>
      </c>
      <c r="AF22" s="12">
        <v>281.51499999999999</v>
      </c>
      <c r="AG22" s="12">
        <v>70.611000000000004</v>
      </c>
      <c r="AH22" s="12">
        <v>1663.5269000000001</v>
      </c>
      <c r="AI22" s="12">
        <v>1755.5283000000002</v>
      </c>
      <c r="AJ22" s="12">
        <v>247.00000000000003</v>
      </c>
      <c r="AK22" s="12">
        <v>2002.5283000000002</v>
      </c>
      <c r="AL22" s="12"/>
      <c r="AM22" s="44" t="s">
        <v>168</v>
      </c>
      <c r="AN22" s="12">
        <v>164.44</v>
      </c>
      <c r="AO22" s="12">
        <v>617.57000000000039</v>
      </c>
      <c r="AP22" s="12">
        <v>724.15941942076006</v>
      </c>
      <c r="AQ22" s="12">
        <v>2916.75</v>
      </c>
      <c r="AR22" s="12">
        <v>4258.4794194207598</v>
      </c>
      <c r="AS22" s="12">
        <v>4422.9194194207594</v>
      </c>
      <c r="AT22" s="12">
        <v>0</v>
      </c>
      <c r="AU22" s="12">
        <v>4422.9194194207594</v>
      </c>
    </row>
    <row r="23" spans="2:47" s="44" customFormat="1" ht="13.5" customHeight="1" x14ac:dyDescent="0.25">
      <c r="B23" s="7" t="s">
        <v>27</v>
      </c>
      <c r="C23" s="33">
        <v>3171.3343630349596</v>
      </c>
      <c r="D23" s="33"/>
      <c r="E23" s="33">
        <v>467.625</v>
      </c>
      <c r="F23" s="33">
        <v>445.43799999999999</v>
      </c>
      <c r="G23" s="39">
        <v>22.187000000000001</v>
      </c>
      <c r="H23" s="35"/>
      <c r="I23" s="33">
        <v>642.53602899999998</v>
      </c>
      <c r="J23" s="33">
        <v>213.751</v>
      </c>
      <c r="K23" s="33">
        <v>428.78502900000001</v>
      </c>
      <c r="L23" s="35"/>
      <c r="M23" s="33">
        <v>2061.1733340349597</v>
      </c>
      <c r="N23" s="33">
        <v>27.549999999999997</v>
      </c>
      <c r="O23" s="33">
        <v>2033.6233340349595</v>
      </c>
      <c r="P23" s="56"/>
      <c r="Q23" s="56" t="s">
        <v>169</v>
      </c>
      <c r="R23" s="118">
        <v>377.81900000000002</v>
      </c>
      <c r="S23" s="118">
        <v>67.619</v>
      </c>
      <c r="T23" s="118">
        <v>445.43799999999999</v>
      </c>
      <c r="U23" s="12">
        <v>14.362000000000002</v>
      </c>
      <c r="V23" s="12">
        <v>7.8250000000000002</v>
      </c>
      <c r="W23" s="12"/>
      <c r="X23" s="118">
        <v>22.187000000000001</v>
      </c>
      <c r="Y23" s="118">
        <v>467.625</v>
      </c>
      <c r="Z23" s="118">
        <v>90.641999999999996</v>
      </c>
      <c r="AA23" s="118">
        <v>558.26700000000005</v>
      </c>
      <c r="AC23" s="44" t="s">
        <v>169</v>
      </c>
      <c r="AD23" s="12">
        <v>213.751</v>
      </c>
      <c r="AE23" s="12">
        <v>90.603769</v>
      </c>
      <c r="AF23" s="12">
        <v>119.178749</v>
      </c>
      <c r="AG23" s="12">
        <v>219.002511</v>
      </c>
      <c r="AH23" s="12">
        <v>428.78502900000001</v>
      </c>
      <c r="AI23" s="12">
        <v>642.53602899999998</v>
      </c>
      <c r="AJ23" s="12">
        <v>3.18</v>
      </c>
      <c r="AK23" s="12">
        <v>645.71602899999993</v>
      </c>
      <c r="AL23" s="12"/>
      <c r="AM23" s="44" t="s">
        <v>169</v>
      </c>
      <c r="AN23" s="12">
        <v>27.549999999999997</v>
      </c>
      <c r="AO23" s="12">
        <v>338.79299999999995</v>
      </c>
      <c r="AP23" s="12">
        <v>601.83033403495995</v>
      </c>
      <c r="AQ23" s="12">
        <v>1092.9999999999998</v>
      </c>
      <c r="AR23" s="12">
        <v>2033.6233340349595</v>
      </c>
      <c r="AS23" s="12">
        <v>2061.1733340349597</v>
      </c>
      <c r="AT23" s="12">
        <v>0</v>
      </c>
      <c r="AU23" s="12">
        <v>2061.1733340349597</v>
      </c>
    </row>
    <row r="24" spans="2:47" s="44" customFormat="1" ht="13.5" customHeight="1" x14ac:dyDescent="0.25">
      <c r="B24" s="7" t="s">
        <v>28</v>
      </c>
      <c r="C24" s="33">
        <v>7494.0229999999974</v>
      </c>
      <c r="D24" s="33"/>
      <c r="E24" s="33">
        <v>1618.1529999999998</v>
      </c>
      <c r="F24" s="33">
        <v>1097.1669999999999</v>
      </c>
      <c r="G24" s="39">
        <v>520.98599999999988</v>
      </c>
      <c r="H24" s="35"/>
      <c r="I24" s="33">
        <v>1635.12</v>
      </c>
      <c r="J24" s="33">
        <v>106.17999999999999</v>
      </c>
      <c r="K24" s="33">
        <v>1528.9399999999998</v>
      </c>
      <c r="L24" s="35"/>
      <c r="M24" s="33">
        <v>4240.7499999999982</v>
      </c>
      <c r="N24" s="33">
        <v>180.53</v>
      </c>
      <c r="O24" s="33">
        <v>4060.2199999999984</v>
      </c>
      <c r="P24" s="56"/>
      <c r="Q24" s="56" t="s">
        <v>170</v>
      </c>
      <c r="R24" s="118">
        <v>956.42199999999991</v>
      </c>
      <c r="S24" s="118">
        <v>140.74500000000003</v>
      </c>
      <c r="T24" s="118">
        <v>1097.1669999999999</v>
      </c>
      <c r="U24" s="12">
        <v>442.33999999999986</v>
      </c>
      <c r="V24" s="12">
        <v>78.646000000000001</v>
      </c>
      <c r="W24" s="12"/>
      <c r="X24" s="118">
        <v>520.98599999999988</v>
      </c>
      <c r="Y24" s="118">
        <v>1618.1529999999998</v>
      </c>
      <c r="Z24" s="118">
        <v>33.326000000000001</v>
      </c>
      <c r="AA24" s="118">
        <v>1651.4789999999998</v>
      </c>
      <c r="AC24" s="44" t="s">
        <v>170</v>
      </c>
      <c r="AD24" s="12">
        <v>106.17999999999999</v>
      </c>
      <c r="AE24" s="12">
        <v>1451.82</v>
      </c>
      <c r="AF24" s="12">
        <v>52.82</v>
      </c>
      <c r="AG24" s="12">
        <v>24.3</v>
      </c>
      <c r="AH24" s="12">
        <v>1528.9399999999998</v>
      </c>
      <c r="AI24" s="12">
        <v>1635.12</v>
      </c>
      <c r="AJ24" s="12">
        <v>120.03</v>
      </c>
      <c r="AK24" s="12">
        <v>1755.1499999999999</v>
      </c>
      <c r="AL24" s="12"/>
      <c r="AM24" s="44" t="s">
        <v>170</v>
      </c>
      <c r="AN24" s="12">
        <v>180.53</v>
      </c>
      <c r="AO24" s="12">
        <v>511.15</v>
      </c>
      <c r="AP24" s="12">
        <v>1375.6999999999994</v>
      </c>
      <c r="AQ24" s="12">
        <v>2173.369999999999</v>
      </c>
      <c r="AR24" s="12">
        <v>4060.2199999999984</v>
      </c>
      <c r="AS24" s="12">
        <v>4240.7499999999982</v>
      </c>
      <c r="AT24" s="12">
        <v>0</v>
      </c>
      <c r="AU24" s="12">
        <v>4240.7499999999982</v>
      </c>
    </row>
    <row r="25" spans="2:47" s="44" customFormat="1" ht="13.5" customHeight="1" x14ac:dyDescent="0.25">
      <c r="B25" s="7" t="s">
        <v>29</v>
      </c>
      <c r="C25" s="33">
        <v>961.44400000000007</v>
      </c>
      <c r="D25" s="33"/>
      <c r="E25" s="33">
        <v>87.884000000000015</v>
      </c>
      <c r="F25" s="33">
        <v>43.085000000000008</v>
      </c>
      <c r="G25" s="39">
        <v>44.798999999999999</v>
      </c>
      <c r="H25" s="35"/>
      <c r="I25" s="33">
        <v>436.69</v>
      </c>
      <c r="J25" s="33">
        <v>108.56</v>
      </c>
      <c r="K25" s="33">
        <v>328.13</v>
      </c>
      <c r="L25" s="35"/>
      <c r="M25" s="33">
        <v>436.87</v>
      </c>
      <c r="N25" s="33">
        <v>19.079999999999998</v>
      </c>
      <c r="O25" s="33">
        <v>417.79</v>
      </c>
      <c r="P25" s="56"/>
      <c r="Q25" s="56" t="s">
        <v>171</v>
      </c>
      <c r="R25" s="118">
        <v>43.085000000000008</v>
      </c>
      <c r="S25" s="118"/>
      <c r="T25" s="118">
        <v>43.085000000000008</v>
      </c>
      <c r="U25" s="12">
        <v>44.798999999999999</v>
      </c>
      <c r="V25" s="12"/>
      <c r="W25" s="12"/>
      <c r="X25" s="118">
        <v>44.798999999999999</v>
      </c>
      <c r="Y25" s="118">
        <v>87.884000000000015</v>
      </c>
      <c r="Z25" s="118">
        <v>43.401000000000003</v>
      </c>
      <c r="AA25" s="118">
        <v>131.28500000000003</v>
      </c>
      <c r="AC25" s="44" t="s">
        <v>171</v>
      </c>
      <c r="AD25" s="12">
        <v>108.56</v>
      </c>
      <c r="AE25" s="12">
        <v>133.02000000000001</v>
      </c>
      <c r="AF25" s="12"/>
      <c r="AG25" s="12">
        <v>195.11</v>
      </c>
      <c r="AH25" s="12">
        <v>328.13</v>
      </c>
      <c r="AI25" s="12">
        <v>436.69</v>
      </c>
      <c r="AJ25" s="12">
        <v>1431.0199999999998</v>
      </c>
      <c r="AK25" s="12">
        <v>1867.7099999999998</v>
      </c>
      <c r="AL25" s="12"/>
      <c r="AM25" s="44" t="s">
        <v>171</v>
      </c>
      <c r="AN25" s="12">
        <v>19.079999999999998</v>
      </c>
      <c r="AO25" s="12">
        <v>50.269999999999996</v>
      </c>
      <c r="AP25" s="12">
        <v>47.099999999999994</v>
      </c>
      <c r="AQ25" s="12">
        <v>320.42</v>
      </c>
      <c r="AR25" s="12">
        <v>417.79</v>
      </c>
      <c r="AS25" s="12">
        <v>436.87</v>
      </c>
      <c r="AT25" s="12">
        <v>294.96000000000004</v>
      </c>
      <c r="AU25" s="12">
        <v>731.83</v>
      </c>
    </row>
    <row r="26" spans="2:47" s="44" customFormat="1" ht="13.5" customHeight="1" x14ac:dyDescent="0.25">
      <c r="B26" s="7" t="s">
        <v>30</v>
      </c>
      <c r="C26" s="33">
        <v>1994.9059999999999</v>
      </c>
      <c r="D26" s="33"/>
      <c r="E26" s="33">
        <v>399.27600000000001</v>
      </c>
      <c r="F26" s="33">
        <v>399.27600000000001</v>
      </c>
      <c r="G26" s="39">
        <v>0</v>
      </c>
      <c r="H26" s="35"/>
      <c r="I26" s="33">
        <v>179.63</v>
      </c>
      <c r="J26" s="33">
        <v>2.4900000000000002</v>
      </c>
      <c r="K26" s="33">
        <v>177.14</v>
      </c>
      <c r="L26" s="35"/>
      <c r="M26" s="33">
        <v>1416</v>
      </c>
      <c r="N26" s="33">
        <v>5.07</v>
      </c>
      <c r="O26" s="33">
        <v>1410.93</v>
      </c>
      <c r="P26" s="56"/>
      <c r="Q26" s="56" t="s">
        <v>172</v>
      </c>
      <c r="R26" s="118">
        <v>399.27600000000001</v>
      </c>
      <c r="S26" s="118"/>
      <c r="T26" s="118">
        <v>399.27600000000001</v>
      </c>
      <c r="U26" s="12"/>
      <c r="V26" s="12"/>
      <c r="W26" s="12"/>
      <c r="X26" s="118">
        <v>0</v>
      </c>
      <c r="Y26" s="118">
        <v>399.27600000000001</v>
      </c>
      <c r="Z26" s="118">
        <v>625.48500000000001</v>
      </c>
      <c r="AA26" s="118">
        <v>1024.761</v>
      </c>
      <c r="AC26" s="44" t="s">
        <v>172</v>
      </c>
      <c r="AD26" s="12">
        <v>2.4900000000000002</v>
      </c>
      <c r="AE26" s="12">
        <v>150.53</v>
      </c>
      <c r="AF26" s="12"/>
      <c r="AG26" s="12">
        <v>26.61</v>
      </c>
      <c r="AH26" s="12">
        <v>177.14</v>
      </c>
      <c r="AI26" s="12">
        <v>179.63</v>
      </c>
      <c r="AJ26" s="12">
        <v>634.69999999999993</v>
      </c>
      <c r="AK26" s="12">
        <v>814.32999999999993</v>
      </c>
      <c r="AL26" s="12"/>
      <c r="AM26" s="44" t="s">
        <v>172</v>
      </c>
      <c r="AN26" s="12">
        <v>5.07</v>
      </c>
      <c r="AO26" s="12">
        <v>436.41000000000008</v>
      </c>
      <c r="AP26" s="12">
        <v>688.92000000000007</v>
      </c>
      <c r="AQ26" s="12">
        <v>285.59999999999997</v>
      </c>
      <c r="AR26" s="12">
        <v>1410.93</v>
      </c>
      <c r="AS26" s="12">
        <v>1416</v>
      </c>
      <c r="AT26" s="12">
        <v>19.349999999999998</v>
      </c>
      <c r="AU26" s="12">
        <v>1435.3500000000001</v>
      </c>
    </row>
    <row r="27" spans="2:47" s="44" customFormat="1" ht="13.5" customHeight="1" x14ac:dyDescent="0.25">
      <c r="B27" s="7" t="s">
        <v>31</v>
      </c>
      <c r="C27" s="33">
        <v>2609.6546830000002</v>
      </c>
      <c r="D27" s="33"/>
      <c r="E27" s="33">
        <v>475.75400000000008</v>
      </c>
      <c r="F27" s="33">
        <v>475.75400000000008</v>
      </c>
      <c r="G27" s="39">
        <v>0</v>
      </c>
      <c r="H27" s="35"/>
      <c r="I27" s="33">
        <v>901.93068300000016</v>
      </c>
      <c r="J27" s="33">
        <v>70.394255999999999</v>
      </c>
      <c r="K27" s="33">
        <v>831.53642700000012</v>
      </c>
      <c r="L27" s="35"/>
      <c r="M27" s="33">
        <v>1231.97</v>
      </c>
      <c r="N27" s="33">
        <v>98.22</v>
      </c>
      <c r="O27" s="33">
        <v>1133.75</v>
      </c>
      <c r="P27" s="56"/>
      <c r="Q27" s="56" t="s">
        <v>173</v>
      </c>
      <c r="R27" s="118">
        <v>475.75400000000008</v>
      </c>
      <c r="S27" s="118"/>
      <c r="T27" s="118">
        <v>475.75400000000008</v>
      </c>
      <c r="U27" s="12"/>
      <c r="V27" s="12"/>
      <c r="W27" s="12"/>
      <c r="X27" s="118">
        <v>0</v>
      </c>
      <c r="Y27" s="118">
        <v>475.75400000000008</v>
      </c>
      <c r="Z27" s="118"/>
      <c r="AA27" s="118">
        <v>475.75400000000008</v>
      </c>
      <c r="AC27" s="44" t="s">
        <v>173</v>
      </c>
      <c r="AD27" s="12">
        <v>70.394255999999999</v>
      </c>
      <c r="AE27" s="12">
        <v>806.90042800000003</v>
      </c>
      <c r="AF27" s="12">
        <v>6.6000000000000003E-2</v>
      </c>
      <c r="AG27" s="12">
        <v>24.569999000000003</v>
      </c>
      <c r="AH27" s="12">
        <v>831.53642700000012</v>
      </c>
      <c r="AI27" s="12">
        <v>901.93068300000016</v>
      </c>
      <c r="AJ27" s="12"/>
      <c r="AK27" s="12">
        <v>901.93068300000016</v>
      </c>
      <c r="AL27" s="12"/>
      <c r="AM27" s="44" t="s">
        <v>173</v>
      </c>
      <c r="AN27" s="12">
        <v>98.22</v>
      </c>
      <c r="AO27" s="12">
        <v>313.76</v>
      </c>
      <c r="AP27" s="12">
        <v>131.07</v>
      </c>
      <c r="AQ27" s="12">
        <v>688.91999999999985</v>
      </c>
      <c r="AR27" s="12">
        <v>1133.75</v>
      </c>
      <c r="AS27" s="12">
        <v>1231.9699999999998</v>
      </c>
      <c r="AT27" s="12">
        <v>0</v>
      </c>
      <c r="AU27" s="12">
        <v>1231.9699999999998</v>
      </c>
    </row>
    <row r="28" spans="2:47" s="44" customFormat="1" ht="13.5" customHeight="1" x14ac:dyDescent="0.25">
      <c r="B28" s="7" t="s">
        <v>32</v>
      </c>
      <c r="C28" s="33">
        <v>3283.8272390000002</v>
      </c>
      <c r="D28" s="33"/>
      <c r="E28" s="33">
        <v>564.86599999999999</v>
      </c>
      <c r="F28" s="33">
        <v>250.17399999999998</v>
      </c>
      <c r="G28" s="39">
        <v>314.69200000000001</v>
      </c>
      <c r="H28" s="35"/>
      <c r="I28" s="33">
        <v>607.5139999999999</v>
      </c>
      <c r="J28" s="33">
        <v>34.43</v>
      </c>
      <c r="K28" s="33">
        <v>573.08399999999995</v>
      </c>
      <c r="L28" s="35"/>
      <c r="M28" s="33">
        <v>2111.4472390000001</v>
      </c>
      <c r="N28" s="33">
        <v>0</v>
      </c>
      <c r="O28" s="33">
        <v>2111.4472390000001</v>
      </c>
      <c r="P28" s="56"/>
      <c r="Q28" s="56" t="s">
        <v>174</v>
      </c>
      <c r="R28" s="118">
        <v>162.91099999999997</v>
      </c>
      <c r="S28" s="118">
        <v>87.262999999999991</v>
      </c>
      <c r="T28" s="118">
        <v>250.17399999999998</v>
      </c>
      <c r="U28" s="12">
        <v>197.97499999999999</v>
      </c>
      <c r="V28" s="12">
        <v>68.968000000000004</v>
      </c>
      <c r="W28" s="12">
        <v>47.748999999999995</v>
      </c>
      <c r="X28" s="118">
        <v>314.69200000000001</v>
      </c>
      <c r="Y28" s="118">
        <v>564.86599999999999</v>
      </c>
      <c r="Z28" s="118"/>
      <c r="AA28" s="118">
        <v>564.86599999999999</v>
      </c>
      <c r="AC28" s="44" t="s">
        <v>174</v>
      </c>
      <c r="AD28" s="12">
        <v>34.43</v>
      </c>
      <c r="AE28" s="12">
        <v>519.98399999999992</v>
      </c>
      <c r="AF28" s="12"/>
      <c r="AG28" s="12">
        <v>53.1</v>
      </c>
      <c r="AH28" s="12">
        <v>573.08399999999995</v>
      </c>
      <c r="AI28" s="12">
        <v>607.5139999999999</v>
      </c>
      <c r="AJ28" s="12">
        <v>36.200000000000003</v>
      </c>
      <c r="AK28" s="12">
        <v>643.71399999999994</v>
      </c>
      <c r="AL28" s="12"/>
      <c r="AM28" s="44" t="s">
        <v>174</v>
      </c>
      <c r="AN28" s="12">
        <v>0</v>
      </c>
      <c r="AO28" s="12">
        <v>608.8000000000003</v>
      </c>
      <c r="AP28" s="12">
        <v>993.93</v>
      </c>
      <c r="AQ28" s="12">
        <v>508.71723899999995</v>
      </c>
      <c r="AR28" s="12">
        <v>2111.4472390000001</v>
      </c>
      <c r="AS28" s="12">
        <v>2111.4472390000001</v>
      </c>
      <c r="AT28" s="12">
        <v>0</v>
      </c>
      <c r="AU28" s="12">
        <v>2111.4472390000001</v>
      </c>
    </row>
    <row r="29" spans="2:47" s="44" customFormat="1" ht="13.5" customHeight="1" x14ac:dyDescent="0.25">
      <c r="B29" s="7" t="s">
        <v>34</v>
      </c>
      <c r="C29" s="33">
        <v>7134.9913280000001</v>
      </c>
      <c r="D29" s="33"/>
      <c r="E29" s="33">
        <v>1374.2419999999997</v>
      </c>
      <c r="F29" s="33">
        <v>936.49699999999973</v>
      </c>
      <c r="G29" s="39">
        <v>437.74499999999989</v>
      </c>
      <c r="H29" s="35"/>
      <c r="I29" s="33">
        <v>844.316328</v>
      </c>
      <c r="J29" s="33">
        <v>244.66450799999993</v>
      </c>
      <c r="K29" s="33">
        <v>599.65182000000004</v>
      </c>
      <c r="L29" s="35"/>
      <c r="M29" s="33">
        <v>4916.4330000000009</v>
      </c>
      <c r="N29" s="33">
        <v>187.85000000000002</v>
      </c>
      <c r="O29" s="33">
        <v>4728.5830000000005</v>
      </c>
      <c r="P29" s="56"/>
      <c r="Q29" s="56" t="s">
        <v>175</v>
      </c>
      <c r="R29" s="118">
        <v>936.49699999999973</v>
      </c>
      <c r="S29" s="118"/>
      <c r="T29" s="118">
        <v>936.49699999999973</v>
      </c>
      <c r="U29" s="12">
        <v>268.69099999999992</v>
      </c>
      <c r="V29" s="12">
        <v>169.02199999999999</v>
      </c>
      <c r="W29" s="12">
        <v>3.2000000000000001E-2</v>
      </c>
      <c r="X29" s="118">
        <v>437.74499999999989</v>
      </c>
      <c r="Y29" s="118">
        <v>1374.2419999999997</v>
      </c>
      <c r="Z29" s="118">
        <v>21.898</v>
      </c>
      <c r="AA29" s="118">
        <v>1396.1399999999996</v>
      </c>
      <c r="AC29" s="44" t="s">
        <v>175</v>
      </c>
      <c r="AD29" s="12">
        <v>244.66450799999993</v>
      </c>
      <c r="AE29" s="12">
        <v>10.657674999999999</v>
      </c>
      <c r="AF29" s="12">
        <v>354.07309500000014</v>
      </c>
      <c r="AG29" s="12">
        <v>234.92104999999995</v>
      </c>
      <c r="AH29" s="12">
        <v>599.65182000000004</v>
      </c>
      <c r="AI29" s="12">
        <v>844.316328</v>
      </c>
      <c r="AJ29" s="12">
        <v>151.29599999999999</v>
      </c>
      <c r="AK29" s="12">
        <v>995.61232799999993</v>
      </c>
      <c r="AL29" s="12"/>
      <c r="AM29" s="44" t="s">
        <v>175</v>
      </c>
      <c r="AN29" s="12">
        <v>187.85000000000002</v>
      </c>
      <c r="AO29" s="12">
        <v>475.17000000000007</v>
      </c>
      <c r="AP29" s="12">
        <v>1324.0030000000002</v>
      </c>
      <c r="AQ29" s="119">
        <v>2929.41</v>
      </c>
      <c r="AR29" s="12">
        <v>4728.5830000000005</v>
      </c>
      <c r="AS29" s="12">
        <v>4916.433</v>
      </c>
      <c r="AT29" s="119">
        <v>179.33</v>
      </c>
      <c r="AU29" s="12">
        <v>5095.7629999999999</v>
      </c>
    </row>
    <row r="30" spans="2:47" s="44" customFormat="1" ht="13.5" customHeight="1" x14ac:dyDescent="0.25">
      <c r="B30" s="7" t="s">
        <v>35</v>
      </c>
      <c r="C30" s="33">
        <v>10876.930000000002</v>
      </c>
      <c r="D30" s="33"/>
      <c r="E30" s="33">
        <v>2016.6800000000007</v>
      </c>
      <c r="F30" s="33">
        <v>1395.6420000000007</v>
      </c>
      <c r="G30" s="39">
        <v>621.03800000000001</v>
      </c>
      <c r="H30" s="35"/>
      <c r="I30" s="33">
        <v>1674.9700000000003</v>
      </c>
      <c r="J30" s="33">
        <v>93.320000000000007</v>
      </c>
      <c r="K30" s="33">
        <v>1581.6500000000003</v>
      </c>
      <c r="L30" s="35"/>
      <c r="M30" s="33">
        <v>7185.2800000000016</v>
      </c>
      <c r="N30" s="33">
        <v>46.41</v>
      </c>
      <c r="O30" s="33">
        <v>7138.8700000000017</v>
      </c>
      <c r="P30" s="56"/>
      <c r="Q30" s="56" t="s">
        <v>176</v>
      </c>
      <c r="R30" s="118">
        <v>1218.2010000000007</v>
      </c>
      <c r="S30" s="118">
        <v>177.44099999999997</v>
      </c>
      <c r="T30" s="118">
        <v>1395.6420000000007</v>
      </c>
      <c r="U30" s="12">
        <v>437.38900000000001</v>
      </c>
      <c r="V30" s="12">
        <v>97.525999999999982</v>
      </c>
      <c r="W30" s="12">
        <v>86.123000000000019</v>
      </c>
      <c r="X30" s="118">
        <v>621.03800000000001</v>
      </c>
      <c r="Y30" s="118">
        <v>2016.6800000000007</v>
      </c>
      <c r="Z30" s="118">
        <v>14.083</v>
      </c>
      <c r="AA30" s="118">
        <v>2030.7630000000008</v>
      </c>
      <c r="AC30" s="44" t="s">
        <v>176</v>
      </c>
      <c r="AD30" s="12">
        <v>93.320000000000007</v>
      </c>
      <c r="AE30" s="12">
        <v>1155.0600000000004</v>
      </c>
      <c r="AF30" s="12">
        <v>269.23</v>
      </c>
      <c r="AG30" s="12">
        <v>157.35999999999999</v>
      </c>
      <c r="AH30" s="12">
        <v>1581.6500000000003</v>
      </c>
      <c r="AI30" s="12">
        <v>1674.9700000000003</v>
      </c>
      <c r="AJ30" s="12">
        <v>178.07</v>
      </c>
      <c r="AK30" s="12">
        <v>1853.0400000000002</v>
      </c>
      <c r="AL30" s="12"/>
      <c r="AM30" s="44" t="s">
        <v>176</v>
      </c>
      <c r="AN30" s="12">
        <v>46.41</v>
      </c>
      <c r="AO30" s="12">
        <v>894.05000000000041</v>
      </c>
      <c r="AP30" s="12">
        <v>2293.64</v>
      </c>
      <c r="AQ30" s="12">
        <v>3951.1800000000017</v>
      </c>
      <c r="AR30" s="12">
        <v>7138.8700000000017</v>
      </c>
      <c r="AS30" s="12">
        <v>7185.2800000000025</v>
      </c>
      <c r="AT30" s="12">
        <v>402.9100000000002</v>
      </c>
      <c r="AU30" s="12">
        <v>7588.1900000000023</v>
      </c>
    </row>
    <row r="31" spans="2:47" s="44" customFormat="1" ht="13.5" customHeight="1" x14ac:dyDescent="0.25">
      <c r="B31" s="7" t="s">
        <v>36</v>
      </c>
      <c r="C31" s="39">
        <v>4729.8130500000007</v>
      </c>
      <c r="D31" s="39"/>
      <c r="E31" s="39">
        <v>848.07999999999993</v>
      </c>
      <c r="F31" s="33">
        <v>616.64899999999989</v>
      </c>
      <c r="G31" s="39">
        <v>231.43100000000001</v>
      </c>
      <c r="H31" s="35"/>
      <c r="I31" s="39">
        <v>882.03304999999989</v>
      </c>
      <c r="J31" s="33">
        <v>150.95205000000001</v>
      </c>
      <c r="K31" s="33">
        <v>731.0809999999999</v>
      </c>
      <c r="L31" s="35"/>
      <c r="M31" s="39">
        <v>2999.7000000000007</v>
      </c>
      <c r="N31" s="33">
        <v>14.82</v>
      </c>
      <c r="O31" s="33">
        <v>2984.8800000000006</v>
      </c>
      <c r="P31" s="56"/>
      <c r="Q31" s="56" t="s">
        <v>177</v>
      </c>
      <c r="R31" s="118">
        <v>527.95299999999986</v>
      </c>
      <c r="S31" s="118">
        <v>88.696000000000012</v>
      </c>
      <c r="T31" s="118">
        <v>616.64899999999989</v>
      </c>
      <c r="U31" s="12">
        <v>22.268000000000004</v>
      </c>
      <c r="V31" s="12">
        <v>96.763999999999996</v>
      </c>
      <c r="W31" s="12">
        <v>112.399</v>
      </c>
      <c r="X31" s="118">
        <v>231.43100000000001</v>
      </c>
      <c r="Y31" s="118">
        <v>848.07999999999993</v>
      </c>
      <c r="Z31" s="118">
        <v>126.55800000000001</v>
      </c>
      <c r="AA31" s="118">
        <v>974.63799999999992</v>
      </c>
      <c r="AC31" s="44" t="s">
        <v>177</v>
      </c>
      <c r="AD31" s="12">
        <v>150.95205000000001</v>
      </c>
      <c r="AE31" s="12">
        <v>416.13799999999998</v>
      </c>
      <c r="AF31" s="12">
        <v>20.155999999999999</v>
      </c>
      <c r="AG31" s="12">
        <v>294.78699999999998</v>
      </c>
      <c r="AH31" s="12">
        <v>731.0809999999999</v>
      </c>
      <c r="AI31" s="12">
        <v>882.03304999999989</v>
      </c>
      <c r="AJ31" s="12">
        <v>254.815</v>
      </c>
      <c r="AK31" s="12">
        <v>1136.8480499999998</v>
      </c>
      <c r="AL31" s="12"/>
      <c r="AM31" s="44" t="s">
        <v>177</v>
      </c>
      <c r="AN31" s="12">
        <v>14.82</v>
      </c>
      <c r="AO31" s="12">
        <v>1408.4400000000005</v>
      </c>
      <c r="AP31" s="12">
        <v>486.73999999999995</v>
      </c>
      <c r="AQ31" s="12">
        <v>1089.7</v>
      </c>
      <c r="AR31" s="12">
        <v>2984.8800000000006</v>
      </c>
      <c r="AS31" s="12">
        <v>2999.7000000000007</v>
      </c>
      <c r="AT31" s="12">
        <v>46.19</v>
      </c>
      <c r="AU31" s="12">
        <v>3045.8900000000008</v>
      </c>
    </row>
    <row r="32" spans="2:47" s="44" customFormat="1" ht="13.5" customHeight="1" x14ac:dyDescent="0.25">
      <c r="B32" s="7" t="s">
        <v>37</v>
      </c>
      <c r="C32" s="39">
        <v>2525.8380144620173</v>
      </c>
      <c r="D32" s="39"/>
      <c r="E32" s="39">
        <v>636.95500000000015</v>
      </c>
      <c r="F32" s="33">
        <v>459.04700000000014</v>
      </c>
      <c r="G32" s="39">
        <v>177.90800000000002</v>
      </c>
      <c r="H32" s="35"/>
      <c r="I32" s="39">
        <v>502.91100000000006</v>
      </c>
      <c r="J32" s="33">
        <v>84.994</v>
      </c>
      <c r="K32" s="33">
        <v>417.91700000000009</v>
      </c>
      <c r="L32" s="35"/>
      <c r="M32" s="39">
        <v>1385.9720144620171</v>
      </c>
      <c r="N32" s="33">
        <v>151.54999999999995</v>
      </c>
      <c r="O32" s="33">
        <v>1234.4220144620172</v>
      </c>
      <c r="P32" s="56"/>
      <c r="Q32" s="56" t="s">
        <v>178</v>
      </c>
      <c r="R32" s="118">
        <v>459.04700000000014</v>
      </c>
      <c r="S32" s="118"/>
      <c r="T32" s="118">
        <v>459.04700000000014</v>
      </c>
      <c r="U32" s="12">
        <v>66.322000000000003</v>
      </c>
      <c r="V32" s="12"/>
      <c r="W32" s="12">
        <v>111.586</v>
      </c>
      <c r="X32" s="118">
        <v>177.90800000000002</v>
      </c>
      <c r="Y32" s="118">
        <v>636.95500000000015</v>
      </c>
      <c r="Z32" s="118"/>
      <c r="AA32" s="118">
        <v>636.95500000000015</v>
      </c>
      <c r="AC32" s="44" t="s">
        <v>178</v>
      </c>
      <c r="AD32" s="12">
        <v>84.994</v>
      </c>
      <c r="AE32" s="12">
        <v>411.67700000000008</v>
      </c>
      <c r="AF32" s="12">
        <v>4.13</v>
      </c>
      <c r="AG32" s="12">
        <v>2.11</v>
      </c>
      <c r="AH32" s="12">
        <v>417.91700000000009</v>
      </c>
      <c r="AI32" s="12">
        <v>502.91100000000006</v>
      </c>
      <c r="AJ32" s="12">
        <v>31.9</v>
      </c>
      <c r="AK32" s="12">
        <v>534.81100000000004</v>
      </c>
      <c r="AL32" s="12"/>
      <c r="AM32" s="44" t="s">
        <v>178</v>
      </c>
      <c r="AN32" s="12">
        <v>151.54999999999995</v>
      </c>
      <c r="AO32" s="12">
        <v>302.90111993569997</v>
      </c>
      <c r="AP32" s="12">
        <v>276.76</v>
      </c>
      <c r="AQ32" s="12">
        <v>654.7608945263172</v>
      </c>
      <c r="AR32" s="12">
        <v>1234.4220144620172</v>
      </c>
      <c r="AS32" s="12">
        <v>1385.9720144620171</v>
      </c>
      <c r="AT32" s="12">
        <v>0</v>
      </c>
      <c r="AU32" s="12">
        <v>1385.9720144620171</v>
      </c>
    </row>
    <row r="33" spans="2:47" s="44" customFormat="1" ht="13.5" customHeight="1" x14ac:dyDescent="0.25">
      <c r="B33" s="7" t="s">
        <v>38</v>
      </c>
      <c r="C33" s="39">
        <v>951.66854000000012</v>
      </c>
      <c r="D33" s="39"/>
      <c r="E33" s="39">
        <v>138.14599999999999</v>
      </c>
      <c r="F33" s="33">
        <v>138.14599999999999</v>
      </c>
      <c r="G33" s="39">
        <v>0</v>
      </c>
      <c r="H33" s="35"/>
      <c r="I33" s="39">
        <v>287.48254000000009</v>
      </c>
      <c r="J33" s="33">
        <v>72.311541000000005</v>
      </c>
      <c r="K33" s="33">
        <v>215.17099900000005</v>
      </c>
      <c r="L33" s="35"/>
      <c r="M33" s="39">
        <v>526.04000000000008</v>
      </c>
      <c r="N33" s="33">
        <v>9.3300000000000018</v>
      </c>
      <c r="O33" s="33">
        <v>516.71</v>
      </c>
      <c r="P33" s="56"/>
      <c r="Q33" s="56" t="s">
        <v>179</v>
      </c>
      <c r="R33" s="118">
        <v>138.14599999999999</v>
      </c>
      <c r="S33" s="118"/>
      <c r="T33" s="118">
        <v>138.14599999999999</v>
      </c>
      <c r="U33" s="12"/>
      <c r="V33" s="12"/>
      <c r="W33" s="12"/>
      <c r="X33" s="118">
        <v>0</v>
      </c>
      <c r="Y33" s="118">
        <v>138.14599999999999</v>
      </c>
      <c r="Z33" s="118">
        <v>8.7870000000000008</v>
      </c>
      <c r="AA33" s="118">
        <v>146.93299999999999</v>
      </c>
      <c r="AC33" s="120" t="s">
        <v>179</v>
      </c>
      <c r="AD33" s="12">
        <v>72.311541000000005</v>
      </c>
      <c r="AE33" s="121">
        <v>22.315998999999998</v>
      </c>
      <c r="AF33" s="121">
        <v>144.30898400000004</v>
      </c>
      <c r="AG33" s="121">
        <v>48.546016000000002</v>
      </c>
      <c r="AH33" s="12">
        <v>215.17099900000005</v>
      </c>
      <c r="AI33" s="12">
        <v>287.48254000000009</v>
      </c>
      <c r="AJ33" s="121">
        <v>26.398799999999998</v>
      </c>
      <c r="AK33" s="12">
        <v>313.88134000000008</v>
      </c>
      <c r="AL33" s="12"/>
      <c r="AM33" s="120" t="s">
        <v>179</v>
      </c>
      <c r="AN33" s="12">
        <v>9.3300000000000018</v>
      </c>
      <c r="AO33" s="12">
        <v>63.120000000000005</v>
      </c>
      <c r="AP33" s="12">
        <v>162</v>
      </c>
      <c r="AQ33" s="12">
        <v>291.59000000000003</v>
      </c>
      <c r="AR33" s="12">
        <v>516.71</v>
      </c>
      <c r="AS33" s="12">
        <v>526.04000000000008</v>
      </c>
      <c r="AT33" s="12">
        <v>0</v>
      </c>
      <c r="AU33" s="12">
        <v>526.04000000000008</v>
      </c>
    </row>
    <row r="34" spans="2:47" s="44" customFormat="1" ht="11.25" customHeight="1" thickBot="1" x14ac:dyDescent="0.3">
      <c r="B34" s="13" t="s">
        <v>39</v>
      </c>
      <c r="C34" s="42">
        <v>1903.2749999999996</v>
      </c>
      <c r="D34" s="42"/>
      <c r="E34" s="42">
        <v>314.43200000000002</v>
      </c>
      <c r="F34" s="42">
        <v>221.09500000000003</v>
      </c>
      <c r="G34" s="42">
        <v>93.337000000000003</v>
      </c>
      <c r="H34" s="42"/>
      <c r="I34" s="42">
        <v>216.40299999999999</v>
      </c>
      <c r="J34" s="42">
        <v>0</v>
      </c>
      <c r="K34" s="42">
        <v>216.40299999999999</v>
      </c>
      <c r="L34" s="42"/>
      <c r="M34" s="42">
        <v>1372.4399999999996</v>
      </c>
      <c r="N34" s="42">
        <v>10.339999999999998</v>
      </c>
      <c r="O34" s="42">
        <v>1362.0999999999997</v>
      </c>
      <c r="P34" s="56"/>
      <c r="Q34" s="122" t="s">
        <v>53</v>
      </c>
      <c r="R34" s="123">
        <v>212.33700000000002</v>
      </c>
      <c r="S34" s="123">
        <v>8.7580000000000009</v>
      </c>
      <c r="T34" s="123">
        <v>221.09500000000003</v>
      </c>
      <c r="U34" s="124">
        <v>93.337000000000003</v>
      </c>
      <c r="V34" s="124"/>
      <c r="W34" s="124"/>
      <c r="X34" s="123">
        <v>93.337000000000003</v>
      </c>
      <c r="Y34" s="123">
        <v>314.43200000000002</v>
      </c>
      <c r="Z34" s="125">
        <v>141.4</v>
      </c>
      <c r="AA34" s="123">
        <v>455.83199999999999</v>
      </c>
      <c r="AC34" s="124" t="s">
        <v>53</v>
      </c>
      <c r="AD34" s="124"/>
      <c r="AE34" s="124"/>
      <c r="AF34" s="124">
        <v>66.488</v>
      </c>
      <c r="AG34" s="124">
        <v>149.91499999999999</v>
      </c>
      <c r="AH34" s="124">
        <v>216.40299999999999</v>
      </c>
      <c r="AI34" s="124">
        <v>216.40299999999999</v>
      </c>
      <c r="AJ34" s="124">
        <v>139.57499999999999</v>
      </c>
      <c r="AK34" s="124">
        <v>355.97799999999995</v>
      </c>
      <c r="AL34" s="126"/>
      <c r="AM34" s="124" t="s">
        <v>53</v>
      </c>
      <c r="AN34" s="124">
        <v>10.339999999999998</v>
      </c>
      <c r="AO34" s="124">
        <v>16.73</v>
      </c>
      <c r="AP34" s="124">
        <v>521.67999999999961</v>
      </c>
      <c r="AQ34" s="124">
        <v>823.68999999999994</v>
      </c>
      <c r="AR34" s="124">
        <v>1362.0999999999997</v>
      </c>
      <c r="AS34" s="124">
        <v>1372.4399999999996</v>
      </c>
      <c r="AT34" s="124">
        <v>2.23</v>
      </c>
      <c r="AU34" s="124">
        <v>1374.6699999999996</v>
      </c>
    </row>
    <row r="35" spans="2:47" s="44" customFormat="1" ht="39.75" customHeight="1" x14ac:dyDescent="0.25">
      <c r="B35" s="162" t="s">
        <v>54</v>
      </c>
      <c r="C35" s="162"/>
      <c r="D35" s="162"/>
      <c r="E35" s="162"/>
      <c r="F35" s="162"/>
      <c r="G35" s="162"/>
      <c r="H35" s="162"/>
      <c r="I35" s="162"/>
      <c r="J35" s="162"/>
      <c r="K35" s="162"/>
      <c r="L35" s="162"/>
      <c r="M35" s="162"/>
      <c r="N35" s="162"/>
      <c r="O35" s="12"/>
      <c r="Q35" s="183" t="s">
        <v>180</v>
      </c>
      <c r="R35" s="183"/>
      <c r="S35" s="183"/>
      <c r="T35" s="183"/>
      <c r="U35" s="183"/>
      <c r="V35" s="183"/>
      <c r="W35" s="183"/>
      <c r="X35" s="183"/>
      <c r="Y35" s="183"/>
      <c r="Z35" s="183"/>
      <c r="AA35" s="183"/>
      <c r="AC35" s="58" t="s">
        <v>180</v>
      </c>
      <c r="AD35" s="127"/>
      <c r="AE35" s="127"/>
      <c r="AF35" s="127"/>
      <c r="AG35" s="127"/>
      <c r="AH35" s="127"/>
      <c r="AI35" s="127"/>
      <c r="AJ35" s="127"/>
      <c r="AK35" s="127"/>
      <c r="AL35" s="127"/>
      <c r="AM35" s="58" t="s">
        <v>180</v>
      </c>
    </row>
    <row r="36" spans="2:47" s="44" customFormat="1" ht="15" customHeight="1" x14ac:dyDescent="0.25">
      <c r="B36" s="58" t="s">
        <v>55</v>
      </c>
      <c r="Q36" s="58" t="s">
        <v>181</v>
      </c>
      <c r="R36" s="58"/>
      <c r="S36" s="58"/>
      <c r="T36" s="58"/>
      <c r="U36" s="58"/>
      <c r="V36" s="58"/>
      <c r="W36" s="58"/>
      <c r="X36" s="58"/>
      <c r="Y36" s="58"/>
      <c r="Z36" s="58"/>
      <c r="AA36" s="58"/>
      <c r="AC36" s="58" t="s">
        <v>181</v>
      </c>
      <c r="AD36" s="58"/>
      <c r="AE36" s="58"/>
      <c r="AF36" s="58"/>
      <c r="AG36" s="58"/>
      <c r="AH36" s="58"/>
      <c r="AI36" s="58"/>
      <c r="AJ36" s="58"/>
      <c r="AK36" s="118">
        <f>+AK16+AK24</f>
        <v>1806.9899999999998</v>
      </c>
      <c r="AL36" s="58"/>
      <c r="AM36" s="58" t="s">
        <v>181</v>
      </c>
      <c r="AU36" s="128"/>
    </row>
    <row r="37" spans="2:47" s="44" customFormat="1" ht="11.25" customHeight="1" x14ac:dyDescent="0.25">
      <c r="B37" s="15" t="s">
        <v>121</v>
      </c>
      <c r="Q37" s="58" t="s">
        <v>182</v>
      </c>
      <c r="R37" s="58"/>
      <c r="S37" s="58"/>
      <c r="T37" s="58"/>
      <c r="U37" s="58"/>
      <c r="V37" s="58"/>
      <c r="W37" s="58"/>
      <c r="X37" s="58"/>
      <c r="Y37" s="58"/>
      <c r="Z37" s="58"/>
      <c r="AA37" s="58"/>
      <c r="AC37" s="183" t="s">
        <v>183</v>
      </c>
      <c r="AD37" s="183"/>
      <c r="AE37" s="183"/>
      <c r="AF37" s="183"/>
      <c r="AG37" s="183"/>
      <c r="AH37" s="183"/>
      <c r="AI37" s="183"/>
      <c r="AJ37" s="183"/>
      <c r="AK37" s="183"/>
      <c r="AL37" s="58"/>
      <c r="AM37" s="58" t="s">
        <v>184</v>
      </c>
    </row>
    <row r="38" spans="2:47" s="44" customFormat="1" ht="13.5" x14ac:dyDescent="0.25">
      <c r="B38" s="16" t="s">
        <v>43</v>
      </c>
    </row>
    <row r="39" spans="2:47" x14ac:dyDescent="0.3">
      <c r="B39" s="44"/>
      <c r="C39" s="44"/>
      <c r="D39" s="44"/>
      <c r="E39" s="44"/>
      <c r="F39" s="44"/>
      <c r="G39" s="44"/>
      <c r="H39" s="44"/>
      <c r="I39" s="44"/>
      <c r="J39" s="44"/>
      <c r="K39" s="44"/>
      <c r="L39" s="44"/>
      <c r="M39" s="44"/>
      <c r="N39" s="44"/>
      <c r="Q39" s="44"/>
      <c r="R39" s="44"/>
      <c r="S39" s="44"/>
      <c r="T39" s="44"/>
      <c r="U39" s="44"/>
      <c r="V39" s="44"/>
      <c r="W39" s="44"/>
      <c r="X39" s="44"/>
      <c r="Y39" s="44"/>
      <c r="Z39" s="44"/>
      <c r="AA39" s="44"/>
      <c r="AB39" s="44"/>
      <c r="AC39" s="44"/>
      <c r="AD39" s="44"/>
      <c r="AE39" s="44"/>
      <c r="AF39" s="44"/>
      <c r="AG39" s="44"/>
      <c r="AH39" s="44"/>
      <c r="AI39" s="44"/>
      <c r="AJ39" s="44"/>
      <c r="AK39" s="128"/>
      <c r="AL39" s="44"/>
      <c r="AM39" s="44"/>
      <c r="AN39" s="44"/>
      <c r="AO39" s="44"/>
      <c r="AP39" s="44"/>
      <c r="AQ39" s="44"/>
      <c r="AR39" s="44"/>
      <c r="AS39" s="44"/>
      <c r="AT39" s="12"/>
      <c r="AU39" s="44"/>
    </row>
    <row r="40" spans="2:47" ht="16.5" customHeight="1" x14ac:dyDescent="0.3">
      <c r="B40" s="159" t="s">
        <v>136</v>
      </c>
      <c r="C40" s="159"/>
      <c r="D40" s="159"/>
      <c r="E40" s="159"/>
      <c r="F40" s="159"/>
      <c r="G40" s="159"/>
      <c r="H40" s="159"/>
      <c r="I40" s="159"/>
      <c r="J40" s="159"/>
      <c r="K40" s="159"/>
      <c r="L40" s="159"/>
      <c r="M40" s="159"/>
      <c r="N40" s="159"/>
      <c r="O40" s="159"/>
      <c r="AK40" s="129"/>
    </row>
    <row r="41" spans="2:47" ht="18.75" customHeight="1" x14ac:dyDescent="0.3">
      <c r="B41" s="160" t="s">
        <v>56</v>
      </c>
      <c r="C41" s="160"/>
      <c r="D41" s="160"/>
      <c r="E41" s="160"/>
      <c r="F41" s="160"/>
      <c r="G41" s="160"/>
      <c r="H41" s="160"/>
      <c r="I41" s="160"/>
      <c r="J41" s="160"/>
      <c r="K41" s="160"/>
      <c r="L41" s="160"/>
      <c r="M41" s="160"/>
      <c r="N41" s="160"/>
      <c r="O41" s="160"/>
      <c r="Q41" s="166" t="s">
        <v>137</v>
      </c>
      <c r="R41" s="166"/>
      <c r="S41" s="166"/>
      <c r="T41" s="166"/>
      <c r="U41" s="166"/>
      <c r="V41" s="166"/>
      <c r="W41" s="166"/>
      <c r="X41" s="166"/>
      <c r="Y41" s="166"/>
      <c r="Z41" s="166"/>
      <c r="AA41" s="166"/>
      <c r="AC41" s="167" t="s">
        <v>138</v>
      </c>
      <c r="AD41" s="168"/>
      <c r="AE41" s="168"/>
      <c r="AF41" s="168"/>
      <c r="AG41" s="168"/>
      <c r="AH41" s="168"/>
      <c r="AI41" s="168"/>
      <c r="AJ41" s="168"/>
      <c r="AK41" s="168"/>
      <c r="AM41" s="167" t="s">
        <v>139</v>
      </c>
      <c r="AN41" s="168"/>
      <c r="AO41" s="168"/>
      <c r="AP41" s="168"/>
      <c r="AQ41" s="168"/>
      <c r="AR41" s="168"/>
      <c r="AS41" s="168"/>
      <c r="AT41" s="168"/>
      <c r="AU41" s="168"/>
    </row>
    <row r="42" spans="2:47" ht="24.75" customHeight="1" x14ac:dyDescent="0.3">
      <c r="Q42" s="169" t="s">
        <v>185</v>
      </c>
      <c r="R42" s="169"/>
      <c r="S42" s="169"/>
      <c r="T42" s="169"/>
      <c r="U42" s="169"/>
      <c r="V42" s="169"/>
      <c r="W42" s="169"/>
      <c r="X42" s="169"/>
      <c r="Y42" s="169"/>
      <c r="Z42" s="169"/>
      <c r="AA42" s="169"/>
      <c r="AC42" s="170" t="s">
        <v>185</v>
      </c>
      <c r="AD42" s="170"/>
      <c r="AE42" s="170"/>
      <c r="AF42" s="170"/>
      <c r="AG42" s="170"/>
      <c r="AH42" s="170"/>
      <c r="AI42" s="170"/>
      <c r="AJ42" s="170"/>
      <c r="AK42" s="170"/>
      <c r="AM42" s="170" t="s">
        <v>185</v>
      </c>
      <c r="AN42" s="170"/>
      <c r="AO42" s="170"/>
      <c r="AP42" s="170"/>
      <c r="AQ42" s="170"/>
      <c r="AR42" s="170"/>
      <c r="AS42" s="170"/>
      <c r="AT42" s="170"/>
      <c r="AU42" s="170"/>
    </row>
    <row r="43" spans="2:47" ht="19.7" customHeight="1" thickBot="1" x14ac:dyDescent="0.35">
      <c r="C43" s="59"/>
      <c r="D43" s="59"/>
      <c r="E43" s="59"/>
      <c r="F43" s="59"/>
      <c r="G43" s="59"/>
      <c r="H43" s="59" t="s">
        <v>2</v>
      </c>
      <c r="I43" s="59"/>
      <c r="J43" s="59"/>
      <c r="K43" s="59"/>
      <c r="L43" s="59"/>
      <c r="M43" s="59"/>
      <c r="N43" s="59"/>
      <c r="Q43" s="171" t="s">
        <v>141</v>
      </c>
      <c r="R43" s="171"/>
      <c r="S43" s="171"/>
      <c r="T43" s="171"/>
      <c r="U43" s="171"/>
      <c r="V43" s="171"/>
      <c r="W43" s="171"/>
      <c r="X43" s="171"/>
      <c r="Y43" s="171"/>
      <c r="Z43" s="171"/>
      <c r="AA43" s="171"/>
      <c r="AC43" s="171" t="s">
        <v>141</v>
      </c>
      <c r="AD43" s="171"/>
      <c r="AE43" s="171"/>
      <c r="AF43" s="171"/>
      <c r="AG43" s="171"/>
      <c r="AH43" s="171"/>
      <c r="AI43" s="171"/>
      <c r="AJ43" s="171"/>
      <c r="AK43" s="171"/>
      <c r="AM43" s="171" t="s">
        <v>141</v>
      </c>
      <c r="AN43" s="171"/>
      <c r="AO43" s="171"/>
      <c r="AP43" s="171"/>
      <c r="AQ43" s="171"/>
      <c r="AR43" s="171"/>
      <c r="AS43" s="171"/>
      <c r="AT43" s="171"/>
      <c r="AU43" s="171"/>
    </row>
    <row r="44" spans="2:47" ht="21.75" customHeight="1" x14ac:dyDescent="0.3">
      <c r="B44" s="147" t="s">
        <v>3</v>
      </c>
      <c r="C44" s="163" t="s">
        <v>4</v>
      </c>
      <c r="D44" s="60"/>
      <c r="E44" s="165" t="s">
        <v>5</v>
      </c>
      <c r="F44" s="165"/>
      <c r="G44" s="165"/>
      <c r="H44" s="61"/>
      <c r="I44" s="165" t="s">
        <v>6</v>
      </c>
      <c r="J44" s="165"/>
      <c r="K44" s="165"/>
      <c r="L44" s="61"/>
      <c r="M44" s="165" t="s">
        <v>52</v>
      </c>
      <c r="N44" s="165"/>
      <c r="O44" s="147"/>
      <c r="Q44" s="172" t="s">
        <v>3</v>
      </c>
      <c r="R44" s="173" t="s">
        <v>142</v>
      </c>
      <c r="S44" s="173"/>
      <c r="T44" s="173"/>
      <c r="U44" s="173"/>
      <c r="V44" s="173"/>
      <c r="W44" s="173"/>
      <c r="X44" s="173"/>
      <c r="Y44" s="173"/>
      <c r="Z44" s="172" t="s">
        <v>143</v>
      </c>
      <c r="AA44" s="172" t="s">
        <v>144</v>
      </c>
      <c r="AC44" s="174" t="s">
        <v>3</v>
      </c>
      <c r="AD44" s="175" t="s">
        <v>142</v>
      </c>
      <c r="AE44" s="175"/>
      <c r="AF44" s="175"/>
      <c r="AG44" s="175"/>
      <c r="AH44" s="175"/>
      <c r="AI44" s="175"/>
      <c r="AJ44" s="174" t="s">
        <v>143</v>
      </c>
      <c r="AK44" s="174" t="s">
        <v>144</v>
      </c>
      <c r="AM44" s="176" t="s">
        <v>3</v>
      </c>
      <c r="AN44" s="177" t="s">
        <v>142</v>
      </c>
      <c r="AO44" s="177"/>
      <c r="AP44" s="177"/>
      <c r="AQ44" s="177"/>
      <c r="AR44" s="177"/>
      <c r="AS44" s="177"/>
      <c r="AT44" s="176" t="s">
        <v>143</v>
      </c>
      <c r="AU44" s="176" t="s">
        <v>144</v>
      </c>
    </row>
    <row r="45" spans="2:47" ht="30"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c r="Q45" s="172"/>
      <c r="R45" s="178" t="s">
        <v>145</v>
      </c>
      <c r="S45" s="178"/>
      <c r="T45" s="178"/>
      <c r="U45" s="184" t="s">
        <v>146</v>
      </c>
      <c r="V45" s="173"/>
      <c r="W45" s="173"/>
      <c r="X45" s="173"/>
      <c r="Y45" s="185" t="s">
        <v>147</v>
      </c>
      <c r="Z45" s="172"/>
      <c r="AA45" s="172"/>
      <c r="AC45" s="174"/>
      <c r="AD45" s="186" t="s">
        <v>145</v>
      </c>
      <c r="AE45" s="188" t="s">
        <v>146</v>
      </c>
      <c r="AF45" s="188"/>
      <c r="AG45" s="188"/>
      <c r="AH45" s="188"/>
      <c r="AI45" s="189" t="s">
        <v>147</v>
      </c>
      <c r="AJ45" s="174"/>
      <c r="AK45" s="174"/>
      <c r="AM45" s="176"/>
      <c r="AN45" s="179" t="s">
        <v>145</v>
      </c>
      <c r="AO45" s="181" t="s">
        <v>148</v>
      </c>
      <c r="AP45" s="181"/>
      <c r="AQ45" s="181"/>
      <c r="AR45" s="181"/>
      <c r="AS45" s="182" t="s">
        <v>147</v>
      </c>
      <c r="AT45" s="176"/>
      <c r="AU45" s="176"/>
    </row>
    <row r="46" spans="2:47" ht="20.25" customHeight="1" x14ac:dyDescent="0.3">
      <c r="B46" s="55" t="s">
        <v>13</v>
      </c>
      <c r="C46" s="30">
        <v>156792.21110137913</v>
      </c>
      <c r="D46" s="30"/>
      <c r="E46" s="30">
        <v>25005.449999999997</v>
      </c>
      <c r="F46" s="30">
        <v>15905.913</v>
      </c>
      <c r="G46" s="30">
        <v>9099.5369999999984</v>
      </c>
      <c r="H46" s="30"/>
      <c r="I46" s="30">
        <v>24992.261601379152</v>
      </c>
      <c r="J46" s="30">
        <v>2517.8282924798805</v>
      </c>
      <c r="K46" s="30">
        <v>22474.433308899275</v>
      </c>
      <c r="L46" s="30"/>
      <c r="M46" s="30">
        <v>106794.49949999998</v>
      </c>
      <c r="N46" s="30">
        <v>1932.9799999999996</v>
      </c>
      <c r="O46" s="64">
        <v>104861.51949999998</v>
      </c>
      <c r="Q46" s="172"/>
      <c r="R46" s="103" t="s">
        <v>149</v>
      </c>
      <c r="S46" s="104" t="s">
        <v>150</v>
      </c>
      <c r="T46" s="105" t="s">
        <v>151</v>
      </c>
      <c r="U46" s="106" t="s">
        <v>152</v>
      </c>
      <c r="V46" s="107" t="s">
        <v>153</v>
      </c>
      <c r="W46" s="107" t="s">
        <v>154</v>
      </c>
      <c r="X46" s="104" t="s">
        <v>151</v>
      </c>
      <c r="Y46" s="185"/>
      <c r="Z46" s="172"/>
      <c r="AA46" s="172"/>
      <c r="AC46" s="174"/>
      <c r="AD46" s="187"/>
      <c r="AE46" s="108" t="s">
        <v>152</v>
      </c>
      <c r="AF46" s="109" t="s">
        <v>155</v>
      </c>
      <c r="AG46" s="109" t="s">
        <v>154</v>
      </c>
      <c r="AH46" s="110" t="s">
        <v>151</v>
      </c>
      <c r="AI46" s="189"/>
      <c r="AJ46" s="174"/>
      <c r="AK46" s="174"/>
      <c r="AM46" s="176"/>
      <c r="AN46" s="180"/>
      <c r="AO46" s="111" t="s">
        <v>152</v>
      </c>
      <c r="AP46" s="112" t="s">
        <v>155</v>
      </c>
      <c r="AQ46" s="112" t="s">
        <v>154</v>
      </c>
      <c r="AR46" s="113" t="s">
        <v>151</v>
      </c>
      <c r="AS46" s="182"/>
      <c r="AT46" s="176"/>
      <c r="AU46" s="176"/>
    </row>
    <row r="47" spans="2:47" s="68" customFormat="1" ht="13.5" customHeight="1" x14ac:dyDescent="0.3">
      <c r="B47" s="11" t="s">
        <v>14</v>
      </c>
      <c r="C47" s="65">
        <v>3338.7579999999998</v>
      </c>
      <c r="D47" s="65"/>
      <c r="E47" s="65">
        <v>851.06700000000012</v>
      </c>
      <c r="F47" s="65">
        <v>581.90000000000009</v>
      </c>
      <c r="G47" s="65">
        <v>269.16700000000003</v>
      </c>
      <c r="H47" s="65"/>
      <c r="I47" s="65">
        <v>744.23099999999999</v>
      </c>
      <c r="J47" s="33">
        <v>31.281000000000002</v>
      </c>
      <c r="K47" s="33">
        <v>712.95</v>
      </c>
      <c r="L47" s="35"/>
      <c r="M47" s="33">
        <v>1743.4599999999996</v>
      </c>
      <c r="N47" s="33">
        <v>0</v>
      </c>
      <c r="O47" s="33">
        <v>1743.4599999999996</v>
      </c>
      <c r="P47" s="66"/>
      <c r="Q47" s="114" t="s">
        <v>13</v>
      </c>
      <c r="R47" s="115">
        <f>SUM(R48:R72)</f>
        <v>13306.49</v>
      </c>
      <c r="S47" s="115">
        <f t="shared" ref="S47:Z47" si="3">SUM(S48:S72)</f>
        <v>2599.4229999999998</v>
      </c>
      <c r="T47" s="115">
        <f t="shared" si="3"/>
        <v>15905.913</v>
      </c>
      <c r="U47" s="115">
        <f t="shared" si="3"/>
        <v>7121.1629999999996</v>
      </c>
      <c r="V47" s="115">
        <f t="shared" si="3"/>
        <v>1050.7949999999998</v>
      </c>
      <c r="W47" s="115">
        <f t="shared" si="3"/>
        <v>927.57900000000018</v>
      </c>
      <c r="X47" s="115">
        <f t="shared" si="3"/>
        <v>9099.5369999999984</v>
      </c>
      <c r="Y47" s="115">
        <f t="shared" si="3"/>
        <v>25005.449999999997</v>
      </c>
      <c r="Z47" s="115">
        <f t="shared" si="3"/>
        <v>1865.2160000000001</v>
      </c>
      <c r="AA47" s="115">
        <f>SUM(AA48:AA72)</f>
        <v>26870.665999999997</v>
      </c>
      <c r="AB47" s="1"/>
      <c r="AC47" s="116" t="s">
        <v>13</v>
      </c>
      <c r="AD47" s="116">
        <f>SUM(AD48:AD72)</f>
        <v>2517.8282924798805</v>
      </c>
      <c r="AE47" s="116">
        <f t="shared" ref="AE47:AJ47" si="4">SUM(AE48:AE72)</f>
        <v>14417.123039701819</v>
      </c>
      <c r="AF47" s="116">
        <f t="shared" si="4"/>
        <v>4411.2381191907843</v>
      </c>
      <c r="AG47" s="116">
        <f t="shared" si="4"/>
        <v>3646.0721500066707</v>
      </c>
      <c r="AH47" s="116">
        <f t="shared" si="4"/>
        <v>22474.433308899275</v>
      </c>
      <c r="AI47" s="116">
        <f t="shared" si="4"/>
        <v>24992.261601379152</v>
      </c>
      <c r="AJ47" s="116">
        <f t="shared" si="4"/>
        <v>4119.0169643647787</v>
      </c>
      <c r="AK47" s="116">
        <f>SUM(AK48:AK72)</f>
        <v>29111.278565743934</v>
      </c>
      <c r="AL47" s="1"/>
      <c r="AM47" s="117" t="s">
        <v>13</v>
      </c>
      <c r="AN47" s="117">
        <f>SUM(AN48:AN72)</f>
        <v>1932.9799999999996</v>
      </c>
      <c r="AO47" s="117">
        <f t="shared" ref="AO47:AT47" si="5">SUM(AO48:AO72)</f>
        <v>24840.594799999992</v>
      </c>
      <c r="AP47" s="117">
        <f t="shared" si="5"/>
        <v>26416.087499999994</v>
      </c>
      <c r="AQ47" s="117">
        <f t="shared" si="5"/>
        <v>53604.83719999998</v>
      </c>
      <c r="AR47" s="117">
        <f t="shared" si="5"/>
        <v>104861.51949999998</v>
      </c>
      <c r="AS47" s="117">
        <f t="shared" si="5"/>
        <v>106794.49949999998</v>
      </c>
      <c r="AT47" s="117">
        <f t="shared" si="5"/>
        <v>703.70000000000016</v>
      </c>
      <c r="AU47" s="117">
        <f>SUM(AU48:AU72)</f>
        <v>107498.19949999997</v>
      </c>
    </row>
    <row r="48" spans="2:47" s="68" customFormat="1" ht="13.5" customHeight="1" x14ac:dyDescent="0.25">
      <c r="B48" s="7" t="s">
        <v>15</v>
      </c>
      <c r="C48" s="65">
        <v>10836.998799999994</v>
      </c>
      <c r="D48" s="65"/>
      <c r="E48" s="65">
        <v>1623.9639999999999</v>
      </c>
      <c r="F48" s="65">
        <v>932.38400000000001</v>
      </c>
      <c r="G48" s="65">
        <v>691.57999999999993</v>
      </c>
      <c r="H48" s="65"/>
      <c r="I48" s="65">
        <v>1480.7900000000002</v>
      </c>
      <c r="J48" s="33">
        <v>215.04999999999998</v>
      </c>
      <c r="K48" s="33">
        <v>1265.7400000000002</v>
      </c>
      <c r="L48" s="35"/>
      <c r="M48" s="33">
        <v>7732.2447999999949</v>
      </c>
      <c r="N48" s="33">
        <v>137.92000000000002</v>
      </c>
      <c r="O48" s="33">
        <v>7594.3247999999949</v>
      </c>
      <c r="P48" s="66"/>
      <c r="Q48" s="66" t="s">
        <v>156</v>
      </c>
      <c r="R48" s="130">
        <v>319.18800000000005</v>
      </c>
      <c r="S48" s="130">
        <v>262.71199999999999</v>
      </c>
      <c r="T48" s="130">
        <v>581.90000000000009</v>
      </c>
      <c r="U48" s="67">
        <v>269.16700000000003</v>
      </c>
      <c r="V48" s="67"/>
      <c r="W48" s="67"/>
      <c r="X48" s="130">
        <v>269.16700000000003</v>
      </c>
      <c r="Y48" s="130">
        <v>851.06700000000012</v>
      </c>
      <c r="Z48" s="130">
        <v>32.527000000000001</v>
      </c>
      <c r="AA48" s="130">
        <v>883.59400000000016</v>
      </c>
      <c r="AC48" s="44" t="s">
        <v>186</v>
      </c>
      <c r="AD48" s="68">
        <v>31.281000000000002</v>
      </c>
      <c r="AE48" s="68">
        <v>18.431000000000001</v>
      </c>
      <c r="AF48" s="68">
        <v>495.52600000000007</v>
      </c>
      <c r="AG48" s="68">
        <v>198.99299999999999</v>
      </c>
      <c r="AH48" s="68">
        <v>712.95</v>
      </c>
      <c r="AI48" s="68">
        <v>744.23099999999999</v>
      </c>
      <c r="AJ48" s="68">
        <v>15.947003014549999</v>
      </c>
      <c r="AK48" s="68">
        <v>760.17800301454997</v>
      </c>
      <c r="AM48" s="68" t="s">
        <v>156</v>
      </c>
      <c r="AN48" s="12">
        <v>0</v>
      </c>
      <c r="AO48" s="12">
        <v>997.46999999999969</v>
      </c>
      <c r="AP48" s="12">
        <v>536.91</v>
      </c>
      <c r="AQ48" s="12">
        <v>209.07999999999998</v>
      </c>
      <c r="AR48" s="12">
        <v>1743.4599999999996</v>
      </c>
      <c r="AS48" s="12">
        <v>1743.4599999999996</v>
      </c>
      <c r="AT48" s="68">
        <v>0</v>
      </c>
      <c r="AU48" s="68">
        <v>1743.4599999999996</v>
      </c>
    </row>
    <row r="49" spans="2:47" s="68" customFormat="1" ht="13.5" customHeight="1" x14ac:dyDescent="0.25">
      <c r="B49" s="7" t="s">
        <v>16</v>
      </c>
      <c r="C49" s="65">
        <v>7441.4783049594844</v>
      </c>
      <c r="D49" s="65"/>
      <c r="E49" s="65">
        <v>1104.518</v>
      </c>
      <c r="F49" s="65">
        <v>576.36699999999996</v>
      </c>
      <c r="G49" s="65">
        <v>528.15099999999995</v>
      </c>
      <c r="H49" s="65"/>
      <c r="I49" s="65">
        <v>1325.9703049594841</v>
      </c>
      <c r="J49" s="33">
        <v>0</v>
      </c>
      <c r="K49" s="33">
        <v>1325.9703049594841</v>
      </c>
      <c r="L49" s="35"/>
      <c r="M49" s="33">
        <v>5010.9900000000007</v>
      </c>
      <c r="N49" s="33">
        <v>7.2700000000000005</v>
      </c>
      <c r="O49" s="33">
        <v>5003.72</v>
      </c>
      <c r="P49" s="66"/>
      <c r="Q49" s="66" t="s">
        <v>157</v>
      </c>
      <c r="R49" s="130">
        <v>877.00199999999995</v>
      </c>
      <c r="S49" s="130">
        <v>55.382000000000005</v>
      </c>
      <c r="T49" s="130">
        <v>932.38400000000001</v>
      </c>
      <c r="U49" s="67">
        <v>634.29299999999989</v>
      </c>
      <c r="V49" s="67">
        <v>6.6829999999999998</v>
      </c>
      <c r="W49" s="67">
        <v>50.603999999999999</v>
      </c>
      <c r="X49" s="130">
        <v>691.57999999999993</v>
      </c>
      <c r="Y49" s="130">
        <v>1623.9639999999999</v>
      </c>
      <c r="Z49" s="130">
        <v>69.414000000000001</v>
      </c>
      <c r="AA49" s="130">
        <v>1693.3779999999999</v>
      </c>
      <c r="AC49" s="44" t="s">
        <v>187</v>
      </c>
      <c r="AD49" s="68">
        <v>215.04999999999998</v>
      </c>
      <c r="AE49" s="68">
        <v>1256.18</v>
      </c>
      <c r="AF49" s="68">
        <v>1.66</v>
      </c>
      <c r="AG49" s="68">
        <v>7.9</v>
      </c>
      <c r="AH49" s="68">
        <v>1265.7400000000002</v>
      </c>
      <c r="AI49" s="68">
        <v>1480.7900000000002</v>
      </c>
      <c r="AJ49" s="68">
        <v>0</v>
      </c>
      <c r="AK49" s="68">
        <v>1480.7900000000002</v>
      </c>
      <c r="AM49" s="68" t="s">
        <v>157</v>
      </c>
      <c r="AN49" s="12">
        <v>137.92000000000002</v>
      </c>
      <c r="AO49" s="12">
        <v>1418.6848000000005</v>
      </c>
      <c r="AP49" s="12">
        <v>1621.5499999999997</v>
      </c>
      <c r="AQ49" s="12">
        <v>4554.0899999999947</v>
      </c>
      <c r="AR49" s="12">
        <v>7594.3247999999949</v>
      </c>
      <c r="AS49" s="12">
        <v>7732.244799999994</v>
      </c>
      <c r="AT49" s="68">
        <v>0</v>
      </c>
      <c r="AU49" s="68">
        <v>7732.244799999994</v>
      </c>
    </row>
    <row r="50" spans="2:47" s="68" customFormat="1" ht="13.5" customHeight="1" x14ac:dyDescent="0.25">
      <c r="B50" s="7" t="s">
        <v>17</v>
      </c>
      <c r="C50" s="65">
        <v>9178.41951700346</v>
      </c>
      <c r="D50" s="65"/>
      <c r="E50" s="65">
        <v>1435.4669999999996</v>
      </c>
      <c r="F50" s="65">
        <v>989.35299999999961</v>
      </c>
      <c r="G50" s="65">
        <v>446.11400000000003</v>
      </c>
      <c r="H50" s="65"/>
      <c r="I50" s="65">
        <v>1739.34151700346</v>
      </c>
      <c r="J50" s="33">
        <v>531.21921162796014</v>
      </c>
      <c r="K50" s="33">
        <v>1208.1223053755</v>
      </c>
      <c r="L50" s="35"/>
      <c r="M50" s="33">
        <v>6003.6110000000008</v>
      </c>
      <c r="N50" s="33">
        <v>394.09</v>
      </c>
      <c r="O50" s="33">
        <v>5609.5210000000006</v>
      </c>
      <c r="P50" s="66"/>
      <c r="Q50" s="66" t="s">
        <v>158</v>
      </c>
      <c r="R50" s="130">
        <v>428.83999999999992</v>
      </c>
      <c r="S50" s="130">
        <v>147.52699999999999</v>
      </c>
      <c r="T50" s="130">
        <v>576.36699999999996</v>
      </c>
      <c r="U50" s="67">
        <v>528.15099999999995</v>
      </c>
      <c r="V50" s="67"/>
      <c r="W50" s="67"/>
      <c r="X50" s="130">
        <v>528.15099999999995</v>
      </c>
      <c r="Y50" s="130">
        <v>1104.518</v>
      </c>
      <c r="Z50" s="130"/>
      <c r="AA50" s="130">
        <v>1104.518</v>
      </c>
      <c r="AC50" s="44" t="s">
        <v>188</v>
      </c>
      <c r="AD50" s="68">
        <v>0</v>
      </c>
      <c r="AE50" s="68">
        <v>484.42</v>
      </c>
      <c r="AF50" s="68">
        <v>652.840304959484</v>
      </c>
      <c r="AG50" s="68">
        <v>188.70999999999998</v>
      </c>
      <c r="AH50" s="68">
        <v>1325.9703049594841</v>
      </c>
      <c r="AI50" s="68">
        <v>1325.9703049594841</v>
      </c>
      <c r="AJ50" s="68">
        <v>189.29000000000002</v>
      </c>
      <c r="AK50" s="68">
        <v>1515.2603049594841</v>
      </c>
      <c r="AM50" s="68" t="s">
        <v>158</v>
      </c>
      <c r="AN50" s="12">
        <v>7.2700000000000005</v>
      </c>
      <c r="AO50" s="12">
        <v>917.80999999999983</v>
      </c>
      <c r="AP50" s="12">
        <v>1581.3100000000004</v>
      </c>
      <c r="AQ50" s="12">
        <v>2504.6</v>
      </c>
      <c r="AR50" s="12">
        <v>5003.72</v>
      </c>
      <c r="AS50" s="12">
        <v>5010.99</v>
      </c>
      <c r="AT50" s="68">
        <v>0</v>
      </c>
      <c r="AU50" s="68">
        <v>5010.99</v>
      </c>
    </row>
    <row r="51" spans="2:47" s="68" customFormat="1" ht="13.5" customHeight="1" x14ac:dyDescent="0.25">
      <c r="B51" s="7" t="s">
        <v>18</v>
      </c>
      <c r="C51" s="65">
        <v>11473.847800000003</v>
      </c>
      <c r="D51" s="65"/>
      <c r="E51" s="65">
        <v>1764.3679999999999</v>
      </c>
      <c r="F51" s="65">
        <v>691.66899999999998</v>
      </c>
      <c r="G51" s="65">
        <v>1072.6989999999998</v>
      </c>
      <c r="H51" s="65"/>
      <c r="I51" s="65">
        <v>1812.5400000000002</v>
      </c>
      <c r="J51" s="33">
        <v>0</v>
      </c>
      <c r="K51" s="33">
        <v>1812.5400000000002</v>
      </c>
      <c r="L51" s="35"/>
      <c r="M51" s="33">
        <v>7896.9398000000037</v>
      </c>
      <c r="N51" s="33">
        <v>32.529999999999994</v>
      </c>
      <c r="O51" s="33">
        <v>7864.409800000004</v>
      </c>
      <c r="P51" s="66"/>
      <c r="Q51" s="66" t="s">
        <v>159</v>
      </c>
      <c r="R51" s="130">
        <v>989.35299999999961</v>
      </c>
      <c r="S51" s="130"/>
      <c r="T51" s="130">
        <v>989.35299999999961</v>
      </c>
      <c r="U51" s="67">
        <v>257.17099999999999</v>
      </c>
      <c r="V51" s="67">
        <v>184.31399999999999</v>
      </c>
      <c r="W51" s="67">
        <v>4.6289999999999996</v>
      </c>
      <c r="X51" s="130">
        <v>446.11400000000003</v>
      </c>
      <c r="Y51" s="130">
        <v>1435.4669999999996</v>
      </c>
      <c r="Z51" s="130">
        <v>64.742000000000004</v>
      </c>
      <c r="AA51" s="130">
        <v>1500.2089999999996</v>
      </c>
      <c r="AC51" s="44" t="s">
        <v>189</v>
      </c>
      <c r="AD51" s="68">
        <v>531.21921162796014</v>
      </c>
      <c r="AE51" s="68">
        <v>387.47176858730006</v>
      </c>
      <c r="AF51" s="68">
        <v>645.86031002719994</v>
      </c>
      <c r="AG51" s="68">
        <v>174.79022676100004</v>
      </c>
      <c r="AH51" s="68">
        <v>1208.1223053755</v>
      </c>
      <c r="AI51" s="68">
        <v>1739.34151700346</v>
      </c>
      <c r="AJ51" s="68">
        <v>28.614000000000001</v>
      </c>
      <c r="AK51" s="68">
        <v>1767.95551700346</v>
      </c>
      <c r="AM51" s="68" t="s">
        <v>159</v>
      </c>
      <c r="AN51" s="12">
        <v>394.09</v>
      </c>
      <c r="AO51" s="12">
        <v>749.83999999999969</v>
      </c>
      <c r="AP51" s="12">
        <v>304.11999999999995</v>
      </c>
      <c r="AQ51" s="12">
        <v>4555.5610000000006</v>
      </c>
      <c r="AR51" s="12">
        <v>5609.5210000000006</v>
      </c>
      <c r="AS51" s="12">
        <v>6003.6110000000008</v>
      </c>
      <c r="AT51" s="68">
        <v>19.52</v>
      </c>
      <c r="AU51" s="68">
        <v>6023.1310000000012</v>
      </c>
    </row>
    <row r="52" spans="2:47" s="68" customFormat="1" ht="13.5" customHeight="1" x14ac:dyDescent="0.25">
      <c r="B52" s="7" t="s">
        <v>19</v>
      </c>
      <c r="C52" s="65">
        <v>13965.309466264556</v>
      </c>
      <c r="D52" s="65"/>
      <c r="E52" s="65">
        <v>1738.634</v>
      </c>
      <c r="F52" s="65">
        <v>1164.6589999999999</v>
      </c>
      <c r="G52" s="65">
        <v>573.97500000000002</v>
      </c>
      <c r="H52" s="65"/>
      <c r="I52" s="65">
        <v>855.68516626456005</v>
      </c>
      <c r="J52" s="33">
        <v>31.779000404580003</v>
      </c>
      <c r="K52" s="33">
        <v>823.90616585998009</v>
      </c>
      <c r="L52" s="35"/>
      <c r="M52" s="33">
        <v>11370.990299999996</v>
      </c>
      <c r="N52" s="33">
        <v>37.969999999999992</v>
      </c>
      <c r="O52" s="33">
        <v>11333.020299999996</v>
      </c>
      <c r="P52" s="66"/>
      <c r="Q52" s="66" t="s">
        <v>160</v>
      </c>
      <c r="R52" s="130">
        <v>572.42099999999994</v>
      </c>
      <c r="S52" s="130">
        <v>119.248</v>
      </c>
      <c r="T52" s="130">
        <v>691.66899999999998</v>
      </c>
      <c r="U52" s="67">
        <v>1013.788</v>
      </c>
      <c r="V52" s="67">
        <v>44.973999999999997</v>
      </c>
      <c r="W52" s="67">
        <v>13.937000000000001</v>
      </c>
      <c r="X52" s="130">
        <v>1072.6989999999998</v>
      </c>
      <c r="Y52" s="130">
        <v>1764.3679999999999</v>
      </c>
      <c r="Z52" s="130"/>
      <c r="AA52" s="130">
        <v>1764.3679999999999</v>
      </c>
      <c r="AC52" s="44" t="s">
        <v>190</v>
      </c>
      <c r="AD52" s="68">
        <v>0</v>
      </c>
      <c r="AE52" s="68">
        <v>1507.7100000000003</v>
      </c>
      <c r="AF52" s="68">
        <v>117.50999999999999</v>
      </c>
      <c r="AG52" s="68">
        <v>187.32</v>
      </c>
      <c r="AH52" s="68">
        <v>1812.5400000000002</v>
      </c>
      <c r="AI52" s="68">
        <v>1812.5400000000002</v>
      </c>
      <c r="AJ52" s="68">
        <v>120.89</v>
      </c>
      <c r="AK52" s="68">
        <v>1933.4300000000003</v>
      </c>
      <c r="AM52" s="68" t="s">
        <v>160</v>
      </c>
      <c r="AN52" s="12">
        <v>32.529999999999994</v>
      </c>
      <c r="AO52" s="12">
        <v>1637.9948999999988</v>
      </c>
      <c r="AP52" s="12">
        <v>2446.4149000000007</v>
      </c>
      <c r="AQ52" s="12">
        <v>3780.0000000000041</v>
      </c>
      <c r="AR52" s="12">
        <v>7864.409800000004</v>
      </c>
      <c r="AS52" s="12">
        <v>7896.9398000000037</v>
      </c>
      <c r="AT52" s="68">
        <v>134.71</v>
      </c>
      <c r="AU52" s="68">
        <v>8031.6498000000038</v>
      </c>
    </row>
    <row r="53" spans="2:47" s="68" customFormat="1" ht="13.5" customHeight="1" x14ac:dyDescent="0.25">
      <c r="B53" s="7" t="s">
        <v>20</v>
      </c>
      <c r="C53" s="65">
        <v>64.935000000000002</v>
      </c>
      <c r="D53" s="65"/>
      <c r="E53" s="65">
        <v>13.094999999999999</v>
      </c>
      <c r="F53" s="65">
        <v>13.094999999999999</v>
      </c>
      <c r="G53" s="65">
        <v>0</v>
      </c>
      <c r="H53" s="65"/>
      <c r="I53" s="65">
        <v>51.84</v>
      </c>
      <c r="J53" s="33">
        <v>51.84</v>
      </c>
      <c r="K53" s="33">
        <v>0</v>
      </c>
      <c r="L53" s="35"/>
      <c r="M53" s="33">
        <v>0</v>
      </c>
      <c r="N53" s="33">
        <v>0</v>
      </c>
      <c r="O53" s="33">
        <v>0</v>
      </c>
      <c r="P53" s="66"/>
      <c r="Q53" s="66" t="s">
        <v>161</v>
      </c>
      <c r="R53" s="130">
        <v>876.51299999999981</v>
      </c>
      <c r="S53" s="130">
        <v>288.14600000000007</v>
      </c>
      <c r="T53" s="130">
        <v>1164.6589999999999</v>
      </c>
      <c r="U53" s="67">
        <v>465.21600000000001</v>
      </c>
      <c r="V53" s="67">
        <v>106.994</v>
      </c>
      <c r="W53" s="67">
        <v>1.7649999999999999</v>
      </c>
      <c r="X53" s="130">
        <v>573.97500000000002</v>
      </c>
      <c r="Y53" s="130">
        <v>1738.634</v>
      </c>
      <c r="Z53" s="130">
        <v>11.718999999999999</v>
      </c>
      <c r="AA53" s="130">
        <v>1750.3530000000001</v>
      </c>
      <c r="AC53" s="44" t="s">
        <v>191</v>
      </c>
      <c r="AD53" s="68">
        <v>31.779000404580003</v>
      </c>
      <c r="AE53" s="68">
        <v>408.49989500000004</v>
      </c>
      <c r="AF53" s="68">
        <v>322.28727085998003</v>
      </c>
      <c r="AG53" s="68">
        <v>93.119</v>
      </c>
      <c r="AH53" s="68">
        <v>823.90616585998009</v>
      </c>
      <c r="AI53" s="68">
        <v>855.68516626456005</v>
      </c>
      <c r="AJ53" s="68">
        <v>21.029</v>
      </c>
      <c r="AK53" s="68">
        <v>876.71416626456005</v>
      </c>
      <c r="AM53" s="68" t="s">
        <v>161</v>
      </c>
      <c r="AN53" s="12">
        <v>37.969999999999992</v>
      </c>
      <c r="AO53" s="12">
        <v>4093.587199999999</v>
      </c>
      <c r="AP53" s="12">
        <v>1786.5085999999992</v>
      </c>
      <c r="AQ53" s="12">
        <v>5452.9244999999983</v>
      </c>
      <c r="AR53" s="12">
        <v>11333.020299999996</v>
      </c>
      <c r="AS53" s="12">
        <v>11370.990299999994</v>
      </c>
      <c r="AT53" s="68">
        <v>12.36</v>
      </c>
      <c r="AU53" s="68">
        <v>11383.350299999995</v>
      </c>
    </row>
    <row r="54" spans="2:47" s="68" customFormat="1" ht="13.5" customHeight="1" x14ac:dyDescent="0.25">
      <c r="B54" s="7" t="s">
        <v>21</v>
      </c>
      <c r="C54" s="65">
        <v>14081.708058731267</v>
      </c>
      <c r="D54" s="65"/>
      <c r="E54" s="65">
        <v>1819.3579999999995</v>
      </c>
      <c r="F54" s="65">
        <v>1187.1949999999995</v>
      </c>
      <c r="G54" s="65">
        <v>632.16300000000001</v>
      </c>
      <c r="H54" s="65"/>
      <c r="I54" s="65">
        <v>2647.0521587312701</v>
      </c>
      <c r="J54" s="33">
        <v>84.16</v>
      </c>
      <c r="K54" s="33">
        <v>2562.8921587312702</v>
      </c>
      <c r="L54" s="35"/>
      <c r="M54" s="33">
        <v>9615.2978999999959</v>
      </c>
      <c r="N54" s="33">
        <v>121.08000000000001</v>
      </c>
      <c r="O54" s="33">
        <v>9494.217899999996</v>
      </c>
      <c r="P54" s="66"/>
      <c r="Q54" s="66" t="s">
        <v>162</v>
      </c>
      <c r="R54" s="130">
        <v>13.094999999999999</v>
      </c>
      <c r="S54" s="130"/>
      <c r="T54" s="130">
        <v>13.094999999999999</v>
      </c>
      <c r="U54" s="67"/>
      <c r="V54" s="67"/>
      <c r="W54" s="67"/>
      <c r="X54" s="130">
        <v>0</v>
      </c>
      <c r="Y54" s="130">
        <v>13.094999999999999</v>
      </c>
      <c r="Z54" s="130"/>
      <c r="AA54" s="130">
        <v>13.094999999999999</v>
      </c>
      <c r="AC54" s="44" t="s">
        <v>192</v>
      </c>
      <c r="AD54" s="68">
        <v>51.84</v>
      </c>
      <c r="AH54" s="68">
        <v>0</v>
      </c>
      <c r="AI54" s="68">
        <v>51.84</v>
      </c>
      <c r="AK54" s="68">
        <v>51.84</v>
      </c>
      <c r="AM54" s="68" t="s">
        <v>162</v>
      </c>
      <c r="AN54" s="12">
        <v>0</v>
      </c>
      <c r="AO54" s="12">
        <v>0</v>
      </c>
      <c r="AP54" s="12">
        <v>0</v>
      </c>
      <c r="AQ54" s="12">
        <v>0</v>
      </c>
      <c r="AR54" s="12">
        <v>0</v>
      </c>
      <c r="AS54" s="12">
        <v>0</v>
      </c>
      <c r="AT54" s="68">
        <v>0</v>
      </c>
    </row>
    <row r="55" spans="2:47" s="68" customFormat="1" ht="13.5" customHeight="1" x14ac:dyDescent="0.25">
      <c r="B55" s="7" t="s">
        <v>22</v>
      </c>
      <c r="C55" s="65">
        <v>8137.66</v>
      </c>
      <c r="D55" s="65"/>
      <c r="E55" s="65">
        <v>1427.4300000000003</v>
      </c>
      <c r="F55" s="65">
        <v>563.21300000000008</v>
      </c>
      <c r="G55" s="65">
        <v>864.2170000000001</v>
      </c>
      <c r="H55" s="65"/>
      <c r="I55" s="65">
        <v>1431.8400000000001</v>
      </c>
      <c r="J55" s="33">
        <v>0</v>
      </c>
      <c r="K55" s="33">
        <v>1431.8400000000001</v>
      </c>
      <c r="L55" s="35"/>
      <c r="M55" s="33">
        <v>5278.3899999999994</v>
      </c>
      <c r="N55" s="33">
        <v>0.66</v>
      </c>
      <c r="O55" s="33">
        <v>5277.73</v>
      </c>
      <c r="P55" s="66"/>
      <c r="Q55" s="66" t="s">
        <v>163</v>
      </c>
      <c r="R55" s="130">
        <v>934.17299999999943</v>
      </c>
      <c r="S55" s="130">
        <v>253.02200000000005</v>
      </c>
      <c r="T55" s="130">
        <v>1187.1949999999995</v>
      </c>
      <c r="U55" s="67">
        <v>528.62800000000004</v>
      </c>
      <c r="V55" s="67">
        <v>103.53500000000001</v>
      </c>
      <c r="W55" s="67"/>
      <c r="X55" s="130">
        <v>632.16300000000001</v>
      </c>
      <c r="Y55" s="130">
        <v>1819.3579999999995</v>
      </c>
      <c r="Z55" s="130">
        <v>183.83699999999999</v>
      </c>
      <c r="AA55" s="130">
        <v>2003.1949999999995</v>
      </c>
      <c r="AC55" s="44" t="s">
        <v>162</v>
      </c>
      <c r="AD55" s="12">
        <v>84.16</v>
      </c>
      <c r="AE55" s="12">
        <v>1939.8000000000004</v>
      </c>
      <c r="AF55" s="12">
        <v>159.49215873127</v>
      </c>
      <c r="AG55" s="12">
        <v>463.59999999999991</v>
      </c>
      <c r="AH55" s="12">
        <v>2562.8921587312702</v>
      </c>
      <c r="AI55" s="12">
        <v>2647.0521587312701</v>
      </c>
      <c r="AJ55" s="12">
        <v>390.49</v>
      </c>
      <c r="AK55" s="12">
        <v>3037.5421587312703</v>
      </c>
      <c r="AM55" s="68" t="s">
        <v>163</v>
      </c>
      <c r="AN55" s="12">
        <v>121.08000000000001</v>
      </c>
      <c r="AO55" s="12">
        <v>2530.2078999999985</v>
      </c>
      <c r="AP55" s="12">
        <v>1712.7599999999989</v>
      </c>
      <c r="AQ55" s="12">
        <v>5251.2499999999982</v>
      </c>
      <c r="AR55" s="12">
        <v>9494.217899999996</v>
      </c>
      <c r="AS55" s="12">
        <v>9615.2978999999959</v>
      </c>
      <c r="AT55" s="68">
        <v>149.13</v>
      </c>
      <c r="AU55" s="68">
        <v>9764.4278999999951</v>
      </c>
    </row>
    <row r="56" spans="2:47" s="68" customFormat="1" ht="13.5" customHeight="1" x14ac:dyDescent="0.25">
      <c r="B56" s="7" t="s">
        <v>23</v>
      </c>
      <c r="C56" s="65">
        <v>7352.9579975836496</v>
      </c>
      <c r="D56" s="65"/>
      <c r="E56" s="65">
        <v>989.91399999999999</v>
      </c>
      <c r="F56" s="65">
        <v>553.32000000000005</v>
      </c>
      <c r="G56" s="65">
        <v>436.59399999999999</v>
      </c>
      <c r="H56" s="65"/>
      <c r="I56" s="65">
        <v>711.8339975836501</v>
      </c>
      <c r="J56" s="33">
        <v>15.984176000000001</v>
      </c>
      <c r="K56" s="33">
        <v>695.84982158365005</v>
      </c>
      <c r="L56" s="35"/>
      <c r="M56" s="33">
        <v>5651.21</v>
      </c>
      <c r="N56" s="33">
        <v>4.2</v>
      </c>
      <c r="O56" s="33">
        <v>5647.01</v>
      </c>
      <c r="P56" s="66"/>
      <c r="Q56" s="66" t="s">
        <v>164</v>
      </c>
      <c r="R56" s="130">
        <v>242.24200000000005</v>
      </c>
      <c r="S56" s="130">
        <v>320.971</v>
      </c>
      <c r="T56" s="130">
        <v>563.21300000000008</v>
      </c>
      <c r="U56" s="67">
        <v>740.25300000000004</v>
      </c>
      <c r="V56" s="67">
        <v>82.625</v>
      </c>
      <c r="W56" s="67">
        <v>41.338999999999999</v>
      </c>
      <c r="X56" s="130">
        <v>864.2170000000001</v>
      </c>
      <c r="Y56" s="130">
        <v>1427.4300000000003</v>
      </c>
      <c r="Z56" s="130">
        <v>16.71</v>
      </c>
      <c r="AA56" s="130">
        <v>1444.1400000000003</v>
      </c>
      <c r="AC56" s="44" t="s">
        <v>193</v>
      </c>
      <c r="AD56" s="68">
        <v>0</v>
      </c>
      <c r="AE56" s="68">
        <v>629.13000000000022</v>
      </c>
      <c r="AF56" s="68">
        <v>706.67000000000007</v>
      </c>
      <c r="AG56" s="68">
        <v>96.039999999999992</v>
      </c>
      <c r="AH56" s="68">
        <v>1431.8400000000001</v>
      </c>
      <c r="AI56" s="68">
        <v>1431.8400000000001</v>
      </c>
      <c r="AJ56" s="68">
        <v>0.01</v>
      </c>
      <c r="AK56" s="68">
        <v>1431.8500000000001</v>
      </c>
      <c r="AM56" s="68" t="s">
        <v>164</v>
      </c>
      <c r="AN56" s="12">
        <v>0.66</v>
      </c>
      <c r="AO56" s="12">
        <v>1159.22</v>
      </c>
      <c r="AP56" s="12">
        <v>1829.3599999999992</v>
      </c>
      <c r="AQ56" s="12">
        <v>2289.15</v>
      </c>
      <c r="AR56" s="12">
        <v>5277.73</v>
      </c>
      <c r="AS56" s="12">
        <v>5278.3899999999994</v>
      </c>
      <c r="AT56" s="68">
        <v>0</v>
      </c>
      <c r="AU56" s="68">
        <v>5278.3899999999994</v>
      </c>
    </row>
    <row r="57" spans="2:47" s="68" customFormat="1" ht="13.5" customHeight="1" x14ac:dyDescent="0.25">
      <c r="B57" s="7" t="s">
        <v>24</v>
      </c>
      <c r="C57" s="65">
        <v>3403.74894108017</v>
      </c>
      <c r="D57" s="65"/>
      <c r="E57" s="65">
        <v>663.19499999999994</v>
      </c>
      <c r="F57" s="65">
        <v>571.96699999999998</v>
      </c>
      <c r="G57" s="65">
        <v>91.228000000000009</v>
      </c>
      <c r="H57" s="65"/>
      <c r="I57" s="65">
        <v>736.81394108017003</v>
      </c>
      <c r="J57" s="33">
        <v>48.940999999999995</v>
      </c>
      <c r="K57" s="33">
        <v>687.87294108016999</v>
      </c>
      <c r="L57" s="35"/>
      <c r="M57" s="33">
        <v>2003.7400000000002</v>
      </c>
      <c r="N57" s="33">
        <v>82.019999999999982</v>
      </c>
      <c r="O57" s="33">
        <v>1921.7200000000003</v>
      </c>
      <c r="P57" s="66"/>
      <c r="Q57" s="66" t="s">
        <v>165</v>
      </c>
      <c r="R57" s="130">
        <v>303.22700000000003</v>
      </c>
      <c r="S57" s="130">
        <v>250.09300000000002</v>
      </c>
      <c r="T57" s="130">
        <v>553.32000000000005</v>
      </c>
      <c r="U57" s="67">
        <v>158.40700000000001</v>
      </c>
      <c r="V57" s="67">
        <v>78.183999999999997</v>
      </c>
      <c r="W57" s="67">
        <v>200.00299999999999</v>
      </c>
      <c r="X57" s="130">
        <v>436.59399999999999</v>
      </c>
      <c r="Y57" s="130">
        <v>989.91399999999999</v>
      </c>
      <c r="Z57" s="130">
        <v>192.536</v>
      </c>
      <c r="AA57" s="130">
        <v>1182.45</v>
      </c>
      <c r="AC57" s="44" t="s">
        <v>194</v>
      </c>
      <c r="AD57" s="68">
        <v>15.984176000000001</v>
      </c>
      <c r="AE57" s="68">
        <v>465.1980538684</v>
      </c>
      <c r="AF57" s="68">
        <v>67.706760715249999</v>
      </c>
      <c r="AG57" s="68">
        <v>162.94500699999998</v>
      </c>
      <c r="AH57" s="68">
        <v>695.84982158365005</v>
      </c>
      <c r="AI57" s="68">
        <v>711.8339975836501</v>
      </c>
      <c r="AJ57" s="68">
        <v>21.130009218520001</v>
      </c>
      <c r="AK57" s="68">
        <v>732.96400680217016</v>
      </c>
      <c r="AM57" s="68" t="s">
        <v>165</v>
      </c>
      <c r="AN57" s="12">
        <v>4.2</v>
      </c>
      <c r="AO57" s="12">
        <v>2099.7399999999998</v>
      </c>
      <c r="AP57" s="12">
        <v>1456.1800000000007</v>
      </c>
      <c r="AQ57" s="12">
        <v>2091.0899999999997</v>
      </c>
      <c r="AR57" s="12">
        <v>5647.01</v>
      </c>
      <c r="AS57" s="12">
        <v>5651.2099999999991</v>
      </c>
      <c r="AT57" s="68">
        <v>0</v>
      </c>
      <c r="AU57" s="68">
        <v>5651.2099999999991</v>
      </c>
    </row>
    <row r="58" spans="2:47" s="68" customFormat="1" ht="13.5" customHeight="1" x14ac:dyDescent="0.25">
      <c r="B58" s="7" t="s">
        <v>25</v>
      </c>
      <c r="C58" s="65">
        <v>10100.706999999997</v>
      </c>
      <c r="D58" s="65"/>
      <c r="E58" s="65">
        <v>1377.1129999999998</v>
      </c>
      <c r="F58" s="65">
        <v>934.31499999999983</v>
      </c>
      <c r="G58" s="65">
        <v>442.798</v>
      </c>
      <c r="H58" s="65"/>
      <c r="I58" s="65">
        <v>894.99400000000037</v>
      </c>
      <c r="J58" s="33">
        <v>14.579999999999998</v>
      </c>
      <c r="K58" s="33">
        <v>880.41400000000033</v>
      </c>
      <c r="L58" s="35"/>
      <c r="M58" s="33">
        <v>7828.5999999999967</v>
      </c>
      <c r="N58" s="33">
        <v>225.57999999999998</v>
      </c>
      <c r="O58" s="33">
        <v>7603.0199999999968</v>
      </c>
      <c r="P58" s="66"/>
      <c r="Q58" s="66" t="s">
        <v>166</v>
      </c>
      <c r="R58" s="130">
        <v>564.31499999999994</v>
      </c>
      <c r="S58" s="130">
        <v>7.6520000000000001</v>
      </c>
      <c r="T58" s="130">
        <v>571.96699999999998</v>
      </c>
      <c r="U58" s="67">
        <v>73.101000000000013</v>
      </c>
      <c r="V58" s="67"/>
      <c r="W58" s="67">
        <v>18.126999999999999</v>
      </c>
      <c r="X58" s="130">
        <v>91.228000000000009</v>
      </c>
      <c r="Y58" s="130">
        <v>663.19499999999994</v>
      </c>
      <c r="Z58" s="130">
        <v>46.652000000000001</v>
      </c>
      <c r="AA58" s="130">
        <v>709.84699999999998</v>
      </c>
      <c r="AC58" s="44" t="s">
        <v>195</v>
      </c>
      <c r="AD58" s="68">
        <v>48.940999999999995</v>
      </c>
      <c r="AE58" s="68">
        <v>229.26099635296998</v>
      </c>
      <c r="AF58" s="68">
        <v>20.157</v>
      </c>
      <c r="AG58" s="68">
        <v>438.45494472720003</v>
      </c>
      <c r="AH58" s="68">
        <v>687.87294108016999</v>
      </c>
      <c r="AI58" s="68">
        <v>736.81394108017003</v>
      </c>
      <c r="AJ58" s="68">
        <v>36.349999754899997</v>
      </c>
      <c r="AK58" s="68">
        <v>773.16394083506998</v>
      </c>
      <c r="AM58" s="68" t="s">
        <v>166</v>
      </c>
      <c r="AN58" s="12">
        <v>82.019999999999982</v>
      </c>
      <c r="AO58" s="12">
        <v>130.46</v>
      </c>
      <c r="AP58" s="12">
        <v>93.950000000000017</v>
      </c>
      <c r="AQ58" s="12">
        <v>1697.3100000000002</v>
      </c>
      <c r="AR58" s="12">
        <v>1921.7200000000003</v>
      </c>
      <c r="AS58" s="12">
        <v>2003.7400000000002</v>
      </c>
      <c r="AT58" s="68">
        <v>0</v>
      </c>
      <c r="AU58" s="68">
        <v>2003.7400000000002</v>
      </c>
    </row>
    <row r="59" spans="2:47" s="68" customFormat="1" ht="13.5" customHeight="1" x14ac:dyDescent="0.25">
      <c r="B59" s="7" t="s">
        <v>26</v>
      </c>
      <c r="C59" s="65">
        <v>7531.6336089586894</v>
      </c>
      <c r="D59" s="65"/>
      <c r="E59" s="65">
        <v>1243.9579999999996</v>
      </c>
      <c r="F59" s="65">
        <v>543.8739999999998</v>
      </c>
      <c r="G59" s="65">
        <v>700.08399999999983</v>
      </c>
      <c r="H59" s="65"/>
      <c r="I59" s="65">
        <v>1753.0356089586899</v>
      </c>
      <c r="J59" s="33">
        <v>92.015232999999995</v>
      </c>
      <c r="K59" s="33">
        <v>1661.0203759586898</v>
      </c>
      <c r="L59" s="35"/>
      <c r="M59" s="33">
        <v>4534.6400000000003</v>
      </c>
      <c r="N59" s="33">
        <v>155.95000000000002</v>
      </c>
      <c r="O59" s="33">
        <v>4378.6900000000005</v>
      </c>
      <c r="P59" s="66"/>
      <c r="Q59" s="66" t="s">
        <v>167</v>
      </c>
      <c r="R59" s="130">
        <v>691.42299999999989</v>
      </c>
      <c r="S59" s="130">
        <v>242.892</v>
      </c>
      <c r="T59" s="130">
        <v>934.31499999999983</v>
      </c>
      <c r="U59" s="67">
        <v>264.065</v>
      </c>
      <c r="V59" s="67"/>
      <c r="W59" s="67">
        <v>178.733</v>
      </c>
      <c r="X59" s="130">
        <v>442.798</v>
      </c>
      <c r="Y59" s="130">
        <v>1377.1129999999998</v>
      </c>
      <c r="Z59" s="130">
        <v>41.186</v>
      </c>
      <c r="AA59" s="130">
        <v>1418.2989999999998</v>
      </c>
      <c r="AC59" s="44" t="s">
        <v>196</v>
      </c>
      <c r="AD59" s="68">
        <v>14.579999999999998</v>
      </c>
      <c r="AE59" s="68">
        <v>803.99400000000037</v>
      </c>
      <c r="AF59" s="68">
        <v>0</v>
      </c>
      <c r="AG59" s="68">
        <v>76.419999999999987</v>
      </c>
      <c r="AH59" s="68">
        <v>880.41400000000033</v>
      </c>
      <c r="AI59" s="68">
        <v>894.99400000000037</v>
      </c>
      <c r="AJ59" s="68">
        <v>41.089999999999996</v>
      </c>
      <c r="AK59" s="68">
        <v>936.0840000000004</v>
      </c>
      <c r="AM59" s="68" t="s">
        <v>167</v>
      </c>
      <c r="AN59" s="12">
        <v>225.57999999999998</v>
      </c>
      <c r="AO59" s="12">
        <v>2569.1499999999969</v>
      </c>
      <c r="AP59" s="12">
        <v>2627.22</v>
      </c>
      <c r="AQ59" s="12">
        <v>2406.6500000000005</v>
      </c>
      <c r="AR59" s="12">
        <v>7603.0199999999968</v>
      </c>
      <c r="AS59" s="12">
        <v>7828.5999999999967</v>
      </c>
      <c r="AT59" s="68">
        <v>2.95</v>
      </c>
      <c r="AU59" s="68">
        <v>7831.5499999999965</v>
      </c>
    </row>
    <row r="60" spans="2:47" s="68" customFormat="1" ht="13.5" customHeight="1" x14ac:dyDescent="0.25">
      <c r="B60" s="7" t="s">
        <v>27</v>
      </c>
      <c r="C60" s="65">
        <v>3190.0420002139608</v>
      </c>
      <c r="D60" s="65"/>
      <c r="E60" s="65">
        <v>467.625</v>
      </c>
      <c r="F60" s="65">
        <v>445.43799999999999</v>
      </c>
      <c r="G60" s="65">
        <v>22.187000000000001</v>
      </c>
      <c r="H60" s="65"/>
      <c r="I60" s="65">
        <v>642.53700021396014</v>
      </c>
      <c r="J60" s="33">
        <v>213.75100000000006</v>
      </c>
      <c r="K60" s="33">
        <v>428.78600021396005</v>
      </c>
      <c r="L60" s="35"/>
      <c r="M60" s="33">
        <v>2079.8800000000006</v>
      </c>
      <c r="N60" s="33">
        <v>27.549999999999997</v>
      </c>
      <c r="O60" s="33">
        <v>2052.3300000000004</v>
      </c>
      <c r="P60" s="66"/>
      <c r="Q60" s="66" t="s">
        <v>168</v>
      </c>
      <c r="R60" s="130">
        <v>503.90799999999979</v>
      </c>
      <c r="S60" s="130">
        <v>39.966000000000001</v>
      </c>
      <c r="T60" s="130">
        <v>543.8739999999998</v>
      </c>
      <c r="U60" s="67">
        <v>634.36299999999983</v>
      </c>
      <c r="V60" s="67">
        <v>5.1679999999999993</v>
      </c>
      <c r="W60" s="67">
        <v>60.552999999999997</v>
      </c>
      <c r="X60" s="130">
        <v>700.08399999999983</v>
      </c>
      <c r="Y60" s="130">
        <v>1243.9579999999996</v>
      </c>
      <c r="Z60" s="130">
        <v>100.313</v>
      </c>
      <c r="AA60" s="130">
        <v>1344.2709999999997</v>
      </c>
      <c r="AC60" s="44" t="s">
        <v>197</v>
      </c>
      <c r="AD60" s="68">
        <v>92.015232999999995</v>
      </c>
      <c r="AE60" s="68">
        <v>1287.0193949586896</v>
      </c>
      <c r="AF60" s="68">
        <v>288.62898100000001</v>
      </c>
      <c r="AG60" s="68">
        <v>85.372</v>
      </c>
      <c r="AH60" s="68">
        <v>1661.0203759586898</v>
      </c>
      <c r="AI60" s="68">
        <v>1753.0356089586899</v>
      </c>
      <c r="AJ60" s="68">
        <v>246.98600045470999</v>
      </c>
      <c r="AK60" s="68">
        <v>2000.0216094133998</v>
      </c>
      <c r="AM60" s="68" t="s">
        <v>168</v>
      </c>
      <c r="AN60" s="12">
        <v>155.95000000000002</v>
      </c>
      <c r="AO60" s="12">
        <v>663.51000000000033</v>
      </c>
      <c r="AP60" s="12">
        <v>735.35000000000014</v>
      </c>
      <c r="AQ60" s="12">
        <v>2979.83</v>
      </c>
      <c r="AR60" s="12">
        <v>4378.6900000000005</v>
      </c>
      <c r="AS60" s="12">
        <v>4534.6400000000003</v>
      </c>
      <c r="AT60" s="68">
        <v>0.37</v>
      </c>
      <c r="AU60" s="68">
        <v>4535.01</v>
      </c>
    </row>
    <row r="61" spans="2:47" s="68" customFormat="1" ht="13.5" customHeight="1" x14ac:dyDescent="0.25">
      <c r="B61" s="7" t="s">
        <v>28</v>
      </c>
      <c r="C61" s="65">
        <v>7534.7879999999986</v>
      </c>
      <c r="D61" s="65"/>
      <c r="E61" s="65">
        <v>1618.153</v>
      </c>
      <c r="F61" s="65">
        <v>1120.96</v>
      </c>
      <c r="G61" s="65">
        <v>497.19299999999993</v>
      </c>
      <c r="H61" s="65"/>
      <c r="I61" s="65">
        <v>1635.12</v>
      </c>
      <c r="J61" s="33">
        <v>106.17999999999999</v>
      </c>
      <c r="K61" s="33">
        <v>1528.9399999999998</v>
      </c>
      <c r="L61" s="35"/>
      <c r="M61" s="33">
        <v>4281.5149999999985</v>
      </c>
      <c r="N61" s="33">
        <v>180.52999999999997</v>
      </c>
      <c r="O61" s="33">
        <v>4100.9849999999988</v>
      </c>
      <c r="P61" s="66"/>
      <c r="Q61" s="66" t="s">
        <v>169</v>
      </c>
      <c r="R61" s="130">
        <v>377.81900000000002</v>
      </c>
      <c r="S61" s="130">
        <v>67.619</v>
      </c>
      <c r="T61" s="130">
        <v>445.43799999999999</v>
      </c>
      <c r="U61" s="67">
        <v>14.362000000000002</v>
      </c>
      <c r="V61" s="67">
        <v>7.8250000000000002</v>
      </c>
      <c r="W61" s="67"/>
      <c r="X61" s="130">
        <v>22.187000000000001</v>
      </c>
      <c r="Y61" s="130">
        <v>467.625</v>
      </c>
      <c r="Z61" s="130">
        <v>90.641999999999996</v>
      </c>
      <c r="AA61" s="130">
        <v>558.26700000000005</v>
      </c>
      <c r="AC61" s="44" t="s">
        <v>198</v>
      </c>
      <c r="AD61" s="68">
        <v>213.75100000000006</v>
      </c>
      <c r="AE61" s="68">
        <v>90.603000000000023</v>
      </c>
      <c r="AF61" s="68">
        <v>84.513999999999996</v>
      </c>
      <c r="AG61" s="68">
        <v>253.66900021396</v>
      </c>
      <c r="AH61" s="68">
        <v>428.78600021396005</v>
      </c>
      <c r="AI61" s="68">
        <v>642.53700021396014</v>
      </c>
      <c r="AJ61" s="68">
        <v>3.18</v>
      </c>
      <c r="AK61" s="68">
        <v>645.71700021396009</v>
      </c>
      <c r="AM61" s="68" t="s">
        <v>169</v>
      </c>
      <c r="AN61" s="12">
        <v>27.549999999999997</v>
      </c>
      <c r="AO61" s="12">
        <v>338.78999999999996</v>
      </c>
      <c r="AP61" s="12">
        <v>600.61</v>
      </c>
      <c r="AQ61" s="12">
        <v>1112.9300000000003</v>
      </c>
      <c r="AR61" s="12">
        <v>2052.3300000000004</v>
      </c>
      <c r="AS61" s="12">
        <v>2079.88</v>
      </c>
      <c r="AT61" s="68">
        <v>0</v>
      </c>
      <c r="AU61" s="68">
        <v>2079.88</v>
      </c>
    </row>
    <row r="62" spans="2:47" s="68" customFormat="1" ht="13.5" customHeight="1" x14ac:dyDescent="0.25">
      <c r="B62" s="7" t="s">
        <v>29</v>
      </c>
      <c r="C62" s="65">
        <v>961.44399999999996</v>
      </c>
      <c r="D62" s="65"/>
      <c r="E62" s="65">
        <v>87.884000000000015</v>
      </c>
      <c r="F62" s="65">
        <v>43.085000000000008</v>
      </c>
      <c r="G62" s="65">
        <v>44.798999999999999</v>
      </c>
      <c r="H62" s="65"/>
      <c r="I62" s="65">
        <v>436.69</v>
      </c>
      <c r="J62" s="33">
        <v>108.56</v>
      </c>
      <c r="K62" s="33">
        <v>328.13</v>
      </c>
      <c r="L62" s="35"/>
      <c r="M62" s="33">
        <v>436.86999999999995</v>
      </c>
      <c r="N62" s="33">
        <v>19.079999999999998</v>
      </c>
      <c r="O62" s="33">
        <v>417.78999999999996</v>
      </c>
      <c r="P62" s="66"/>
      <c r="Q62" s="66" t="s">
        <v>170</v>
      </c>
      <c r="R62" s="130">
        <v>980.21499999999992</v>
      </c>
      <c r="S62" s="130">
        <v>140.74500000000003</v>
      </c>
      <c r="T62" s="130">
        <v>1120.96</v>
      </c>
      <c r="U62" s="67">
        <v>418.54699999999991</v>
      </c>
      <c r="V62" s="67">
        <v>78.646000000000001</v>
      </c>
      <c r="W62" s="67"/>
      <c r="X62" s="130">
        <v>497.19299999999993</v>
      </c>
      <c r="Y62" s="130">
        <v>1618.153</v>
      </c>
      <c r="Z62" s="130">
        <v>33.326000000000001</v>
      </c>
      <c r="AA62" s="130">
        <v>1651.479</v>
      </c>
      <c r="AC62" s="44" t="s">
        <v>199</v>
      </c>
      <c r="AD62" s="68">
        <v>106.17999999999999</v>
      </c>
      <c r="AE62" s="68">
        <v>1451.82</v>
      </c>
      <c r="AF62" s="68">
        <v>52.82</v>
      </c>
      <c r="AG62" s="68">
        <v>24.3</v>
      </c>
      <c r="AH62" s="68">
        <v>1528.9399999999998</v>
      </c>
      <c r="AI62" s="68">
        <v>1635.12</v>
      </c>
      <c r="AJ62" s="68">
        <v>120.03</v>
      </c>
      <c r="AK62" s="68">
        <v>1755.1499999999999</v>
      </c>
      <c r="AM62" s="68" t="s">
        <v>170</v>
      </c>
      <c r="AN62" s="12">
        <v>180.52999999999997</v>
      </c>
      <c r="AO62" s="12">
        <v>511.15</v>
      </c>
      <c r="AP62" s="12">
        <v>1408.2514999999999</v>
      </c>
      <c r="AQ62" s="12">
        <v>2181.5834999999993</v>
      </c>
      <c r="AR62" s="12">
        <v>4100.9849999999988</v>
      </c>
      <c r="AS62" s="12">
        <v>4281.5149999999994</v>
      </c>
      <c r="AT62" s="68">
        <v>0</v>
      </c>
      <c r="AU62" s="68">
        <v>4281.5149999999994</v>
      </c>
    </row>
    <row r="63" spans="2:47" s="68" customFormat="1" ht="13.5" customHeight="1" x14ac:dyDescent="0.25">
      <c r="B63" s="7" t="s">
        <v>30</v>
      </c>
      <c r="C63" s="65">
        <v>1994.9059999999997</v>
      </c>
      <c r="D63" s="65"/>
      <c r="E63" s="65">
        <v>399.27600000000001</v>
      </c>
      <c r="F63" s="65">
        <v>399.27600000000001</v>
      </c>
      <c r="G63" s="65">
        <v>0</v>
      </c>
      <c r="H63" s="65"/>
      <c r="I63" s="65">
        <v>179.63</v>
      </c>
      <c r="J63" s="33">
        <v>2.4900000000000002</v>
      </c>
      <c r="K63" s="33">
        <v>177.14</v>
      </c>
      <c r="L63" s="35"/>
      <c r="M63" s="33">
        <v>1415.9999999999998</v>
      </c>
      <c r="N63" s="33">
        <v>5.07</v>
      </c>
      <c r="O63" s="33">
        <v>1410.9299999999998</v>
      </c>
      <c r="P63" s="66"/>
      <c r="Q63" s="66" t="s">
        <v>171</v>
      </c>
      <c r="R63" s="130">
        <v>43.085000000000008</v>
      </c>
      <c r="S63" s="130"/>
      <c r="T63" s="130">
        <v>43.085000000000008</v>
      </c>
      <c r="U63" s="67">
        <v>44.798999999999999</v>
      </c>
      <c r="V63" s="67"/>
      <c r="W63" s="67"/>
      <c r="X63" s="130">
        <v>44.798999999999999</v>
      </c>
      <c r="Y63" s="130">
        <v>87.884000000000015</v>
      </c>
      <c r="Z63" s="130">
        <v>43.401000000000003</v>
      </c>
      <c r="AA63" s="130">
        <v>131.28500000000003</v>
      </c>
      <c r="AC63" s="44" t="s">
        <v>200</v>
      </c>
      <c r="AD63" s="68">
        <v>108.56</v>
      </c>
      <c r="AE63" s="68">
        <v>133.02000000000001</v>
      </c>
      <c r="AF63" s="68">
        <v>0</v>
      </c>
      <c r="AG63" s="68">
        <v>195.11</v>
      </c>
      <c r="AH63" s="68">
        <v>328.13</v>
      </c>
      <c r="AI63" s="68">
        <v>436.69</v>
      </c>
      <c r="AJ63" s="68">
        <v>1431.0299999999997</v>
      </c>
      <c r="AK63" s="68">
        <v>1867.7199999999998</v>
      </c>
      <c r="AM63" s="68" t="s">
        <v>171</v>
      </c>
      <c r="AN63" s="12">
        <v>19.079999999999998</v>
      </c>
      <c r="AO63" s="12">
        <v>50.269999999999996</v>
      </c>
      <c r="AP63" s="12">
        <v>47.1</v>
      </c>
      <c r="AQ63" s="12">
        <v>320.41999999999996</v>
      </c>
      <c r="AR63" s="12">
        <v>417.78999999999996</v>
      </c>
      <c r="AS63" s="12">
        <v>436.87</v>
      </c>
      <c r="AT63" s="68">
        <v>0</v>
      </c>
      <c r="AU63" s="68">
        <v>436.87</v>
      </c>
    </row>
    <row r="64" spans="2:47" s="68" customFormat="1" ht="13.5" customHeight="1" x14ac:dyDescent="0.25">
      <c r="B64" s="7" t="s">
        <v>31</v>
      </c>
      <c r="C64" s="65">
        <v>2639.5199991686004</v>
      </c>
      <c r="D64" s="65"/>
      <c r="E64" s="65">
        <v>475.75400000000008</v>
      </c>
      <c r="F64" s="65">
        <v>475.75400000000008</v>
      </c>
      <c r="G64" s="65">
        <v>0</v>
      </c>
      <c r="H64" s="65"/>
      <c r="I64" s="65">
        <v>901.93599916860012</v>
      </c>
      <c r="J64" s="33">
        <v>70.392526000000018</v>
      </c>
      <c r="K64" s="33">
        <v>831.54347316860014</v>
      </c>
      <c r="L64" s="35"/>
      <c r="M64" s="33">
        <v>1261.83</v>
      </c>
      <c r="N64" s="33">
        <v>98.22</v>
      </c>
      <c r="O64" s="33">
        <v>1163.6099999999999</v>
      </c>
      <c r="P64" s="66"/>
      <c r="Q64" s="66" t="s">
        <v>172</v>
      </c>
      <c r="R64" s="130">
        <v>399.27600000000001</v>
      </c>
      <c r="S64" s="130"/>
      <c r="T64" s="130">
        <v>399.27600000000001</v>
      </c>
      <c r="U64" s="67"/>
      <c r="V64" s="67"/>
      <c r="W64" s="67"/>
      <c r="X64" s="130">
        <v>0</v>
      </c>
      <c r="Y64" s="130">
        <v>399.27600000000001</v>
      </c>
      <c r="Z64" s="130">
        <v>625.48500000000001</v>
      </c>
      <c r="AA64" s="130">
        <v>1024.761</v>
      </c>
      <c r="AC64" s="44" t="s">
        <v>201</v>
      </c>
      <c r="AD64" s="68">
        <v>2.4900000000000002</v>
      </c>
      <c r="AE64" s="68">
        <v>150.53</v>
      </c>
      <c r="AF64" s="68">
        <v>0</v>
      </c>
      <c r="AG64" s="68">
        <v>26.61</v>
      </c>
      <c r="AH64" s="68">
        <v>177.14</v>
      </c>
      <c r="AI64" s="68">
        <v>179.63</v>
      </c>
      <c r="AJ64" s="68">
        <v>634.69999999999993</v>
      </c>
      <c r="AK64" s="68">
        <v>814.32999999999993</v>
      </c>
      <c r="AM64" s="68" t="s">
        <v>172</v>
      </c>
      <c r="AN64" s="12">
        <v>5.07</v>
      </c>
      <c r="AO64" s="12">
        <v>436.41000000000008</v>
      </c>
      <c r="AP64" s="12">
        <v>688.91999999999985</v>
      </c>
      <c r="AQ64" s="12">
        <v>285.60000000000002</v>
      </c>
      <c r="AR64" s="12">
        <v>1410.9299999999998</v>
      </c>
      <c r="AS64" s="12">
        <v>1416</v>
      </c>
      <c r="AT64" s="68">
        <v>19.349999999999998</v>
      </c>
      <c r="AU64" s="68">
        <v>1435.35</v>
      </c>
    </row>
    <row r="65" spans="2:47" s="68" customFormat="1" ht="13.5" customHeight="1" x14ac:dyDescent="0.25">
      <c r="B65" s="7" t="s">
        <v>32</v>
      </c>
      <c r="C65" s="65">
        <v>3297.09149150335</v>
      </c>
      <c r="D65" s="65"/>
      <c r="E65" s="65">
        <v>564.86599999999999</v>
      </c>
      <c r="F65" s="65">
        <v>272.35199999999998</v>
      </c>
      <c r="G65" s="65">
        <v>292.51400000000001</v>
      </c>
      <c r="H65" s="65"/>
      <c r="I65" s="65">
        <v>607.57549150335012</v>
      </c>
      <c r="J65" s="33">
        <v>34.434956</v>
      </c>
      <c r="K65" s="33">
        <v>573.14053550335007</v>
      </c>
      <c r="L65" s="35"/>
      <c r="M65" s="33">
        <v>2124.65</v>
      </c>
      <c r="N65" s="33">
        <v>0</v>
      </c>
      <c r="O65" s="33">
        <v>2124.65</v>
      </c>
      <c r="P65" s="66"/>
      <c r="Q65" s="66" t="s">
        <v>173</v>
      </c>
      <c r="R65" s="130">
        <v>475.75400000000008</v>
      </c>
      <c r="S65" s="130"/>
      <c r="T65" s="130">
        <v>475.75400000000008</v>
      </c>
      <c r="U65" s="67"/>
      <c r="V65" s="67"/>
      <c r="W65" s="67"/>
      <c r="X65" s="130">
        <v>0</v>
      </c>
      <c r="Y65" s="130">
        <v>475.75400000000008</v>
      </c>
      <c r="Z65" s="130"/>
      <c r="AA65" s="130">
        <v>475.75400000000008</v>
      </c>
      <c r="AC65" s="44" t="s">
        <v>202</v>
      </c>
      <c r="AD65" s="68">
        <v>70.392526000000018</v>
      </c>
      <c r="AE65" s="68">
        <v>806.90747316860006</v>
      </c>
      <c r="AF65" s="68">
        <v>6.6000000000000003E-2</v>
      </c>
      <c r="AG65" s="68">
        <v>24.57</v>
      </c>
      <c r="AH65" s="68">
        <v>831.54347316860014</v>
      </c>
      <c r="AI65" s="68">
        <v>901.93599916860012</v>
      </c>
      <c r="AJ65" s="68">
        <v>0</v>
      </c>
      <c r="AK65" s="68">
        <v>901.93599916860012</v>
      </c>
      <c r="AM65" s="68" t="s">
        <v>173</v>
      </c>
      <c r="AN65" s="12">
        <v>98.22</v>
      </c>
      <c r="AO65" s="12">
        <v>315.12000000000012</v>
      </c>
      <c r="AP65" s="12">
        <v>154.9</v>
      </c>
      <c r="AQ65" s="12">
        <v>693.58999999999992</v>
      </c>
      <c r="AR65" s="12">
        <v>1163.6099999999999</v>
      </c>
      <c r="AS65" s="12">
        <v>1261.83</v>
      </c>
      <c r="AT65" s="68">
        <v>0</v>
      </c>
      <c r="AU65" s="68">
        <v>1261.83</v>
      </c>
    </row>
    <row r="66" spans="2:47" s="68" customFormat="1" ht="13.5" customHeight="1" x14ac:dyDescent="0.25">
      <c r="B66" s="7" t="s">
        <v>34</v>
      </c>
      <c r="C66" s="65">
        <v>8459.9599767513391</v>
      </c>
      <c r="D66" s="65"/>
      <c r="E66" s="65">
        <v>1385.5179999999996</v>
      </c>
      <c r="F66" s="65">
        <v>977.78699999999969</v>
      </c>
      <c r="G66" s="65">
        <v>407.73099999999988</v>
      </c>
      <c r="H66" s="65"/>
      <c r="I66" s="65">
        <v>844.30377675134002</v>
      </c>
      <c r="J66" s="33">
        <v>244.66271328373998</v>
      </c>
      <c r="K66" s="33">
        <v>599.64106346760002</v>
      </c>
      <c r="L66" s="35"/>
      <c r="M66" s="33">
        <v>6230.1382000000003</v>
      </c>
      <c r="N66" s="33">
        <v>185.54000000000002</v>
      </c>
      <c r="O66" s="33">
        <v>6044.5982000000004</v>
      </c>
      <c r="P66" s="66"/>
      <c r="Q66" s="66" t="s">
        <v>174</v>
      </c>
      <c r="R66" s="130">
        <v>185.089</v>
      </c>
      <c r="S66" s="130">
        <v>87.262999999999991</v>
      </c>
      <c r="T66" s="130">
        <v>272.35199999999998</v>
      </c>
      <c r="U66" s="67">
        <v>197.97499999999999</v>
      </c>
      <c r="V66" s="67">
        <v>46.790000000000006</v>
      </c>
      <c r="W66" s="67">
        <v>47.748999999999995</v>
      </c>
      <c r="X66" s="130">
        <v>292.51400000000001</v>
      </c>
      <c r="Y66" s="130">
        <v>564.86599999999999</v>
      </c>
      <c r="Z66" s="130"/>
      <c r="AA66" s="130">
        <v>564.86599999999999</v>
      </c>
      <c r="AC66" s="44" t="s">
        <v>203</v>
      </c>
      <c r="AD66" s="68">
        <v>34.434956</v>
      </c>
      <c r="AE66" s="68">
        <v>520.02430401144011</v>
      </c>
      <c r="AF66" s="68">
        <v>0</v>
      </c>
      <c r="AG66" s="68">
        <v>53.11623149191</v>
      </c>
      <c r="AH66" s="68">
        <v>573.14053550335007</v>
      </c>
      <c r="AI66" s="68">
        <v>607.57549150335012</v>
      </c>
      <c r="AJ66" s="68">
        <v>36.163950094900002</v>
      </c>
      <c r="AK66" s="68">
        <v>643.7394415982501</v>
      </c>
      <c r="AM66" s="68" t="s">
        <v>174</v>
      </c>
      <c r="AN66" s="12">
        <v>0</v>
      </c>
      <c r="AO66" s="12">
        <v>604.5600000000004</v>
      </c>
      <c r="AP66" s="12">
        <v>1018.3599999999998</v>
      </c>
      <c r="AQ66" s="12">
        <v>501.73</v>
      </c>
      <c r="AR66" s="12">
        <v>2124.65</v>
      </c>
      <c r="AS66" s="12">
        <v>2124.65</v>
      </c>
      <c r="AT66" s="68">
        <v>0</v>
      </c>
      <c r="AU66" s="68">
        <v>2124.65</v>
      </c>
    </row>
    <row r="67" spans="2:47" s="68" customFormat="1" ht="13.5" customHeight="1" x14ac:dyDescent="0.25">
      <c r="B67" s="7" t="s">
        <v>35</v>
      </c>
      <c r="C67" s="65">
        <v>11304.092499999999</v>
      </c>
      <c r="D67" s="65"/>
      <c r="E67" s="65">
        <v>2016.6800000000007</v>
      </c>
      <c r="F67" s="65">
        <v>1395.6420000000007</v>
      </c>
      <c r="G67" s="65">
        <v>621.03800000000001</v>
      </c>
      <c r="H67" s="65"/>
      <c r="I67" s="65">
        <v>1674.96</v>
      </c>
      <c r="J67" s="33">
        <v>317.77</v>
      </c>
      <c r="K67" s="33">
        <v>1357.19</v>
      </c>
      <c r="L67" s="35"/>
      <c r="M67" s="33">
        <v>7612.4524999999985</v>
      </c>
      <c r="N67" s="33">
        <v>46.41</v>
      </c>
      <c r="O67" s="33">
        <v>7566.0424999999987</v>
      </c>
      <c r="P67" s="66"/>
      <c r="Q67" s="66" t="s">
        <v>175</v>
      </c>
      <c r="R67" s="130">
        <v>936.49699999999973</v>
      </c>
      <c r="S67" s="130">
        <v>41.29</v>
      </c>
      <c r="T67" s="130">
        <v>977.78699999999969</v>
      </c>
      <c r="U67" s="67">
        <v>268.69099999999992</v>
      </c>
      <c r="V67" s="67">
        <v>139.00799999999998</v>
      </c>
      <c r="W67" s="67">
        <v>3.2000000000000001E-2</v>
      </c>
      <c r="X67" s="130">
        <v>407.73099999999988</v>
      </c>
      <c r="Y67" s="130">
        <v>1385.5179999999996</v>
      </c>
      <c r="Z67" s="130">
        <v>21.898</v>
      </c>
      <c r="AA67" s="130">
        <v>1407.4159999999995</v>
      </c>
      <c r="AC67" s="44" t="s">
        <v>204</v>
      </c>
      <c r="AD67" s="68">
        <v>244.66271328373998</v>
      </c>
      <c r="AE67" s="68">
        <v>10.657</v>
      </c>
      <c r="AF67" s="68">
        <v>354.1093332099</v>
      </c>
      <c r="AG67" s="68">
        <v>234.87473025770001</v>
      </c>
      <c r="AH67" s="68">
        <v>599.64106346760002</v>
      </c>
      <c r="AI67" s="68">
        <v>844.30377675134002</v>
      </c>
      <c r="AJ67" s="68">
        <v>151.29599999999999</v>
      </c>
      <c r="AK67" s="68">
        <v>995.59977675133996</v>
      </c>
      <c r="AM67" s="68" t="s">
        <v>175</v>
      </c>
      <c r="AN67" s="12">
        <v>185.54000000000002</v>
      </c>
      <c r="AO67" s="12">
        <v>688.93000000000006</v>
      </c>
      <c r="AP67" s="12">
        <v>1561.0700000000002</v>
      </c>
      <c r="AQ67" s="12">
        <v>3794.5982000000008</v>
      </c>
      <c r="AR67" s="12">
        <v>6044.5982000000004</v>
      </c>
      <c r="AS67" s="12">
        <v>6230.1382000000012</v>
      </c>
      <c r="AT67" s="131">
        <v>7.56</v>
      </c>
      <c r="AU67" s="68">
        <v>6237.6982000000016</v>
      </c>
    </row>
    <row r="68" spans="2:47" s="68" customFormat="1" ht="13.5" customHeight="1" x14ac:dyDescent="0.25">
      <c r="B68" s="7" t="s">
        <v>36</v>
      </c>
      <c r="C68" s="65">
        <v>5132.1600080820999</v>
      </c>
      <c r="D68" s="65"/>
      <c r="E68" s="65">
        <v>848.07999999999993</v>
      </c>
      <c r="F68" s="65">
        <v>654.02</v>
      </c>
      <c r="G68" s="65">
        <v>194.06</v>
      </c>
      <c r="H68" s="65"/>
      <c r="I68" s="65">
        <v>878.97000808210009</v>
      </c>
      <c r="J68" s="33">
        <v>148.2269981636</v>
      </c>
      <c r="K68" s="33">
        <v>730.74300991850009</v>
      </c>
      <c r="L68" s="35"/>
      <c r="M68" s="39">
        <v>3405.11</v>
      </c>
      <c r="N68" s="33">
        <v>0.09</v>
      </c>
      <c r="O68" s="33">
        <v>3405.02</v>
      </c>
      <c r="P68" s="66"/>
      <c r="Q68" s="66" t="s">
        <v>176</v>
      </c>
      <c r="R68" s="130">
        <v>1218.2010000000007</v>
      </c>
      <c r="S68" s="130">
        <v>177.44099999999997</v>
      </c>
      <c r="T68" s="130">
        <v>1395.6420000000007</v>
      </c>
      <c r="U68" s="67">
        <v>437.38900000000001</v>
      </c>
      <c r="V68" s="67">
        <v>97.525999999999982</v>
      </c>
      <c r="W68" s="67">
        <v>86.123000000000019</v>
      </c>
      <c r="X68" s="130">
        <v>621.03800000000001</v>
      </c>
      <c r="Y68" s="130">
        <v>2016.6800000000007</v>
      </c>
      <c r="Z68" s="130">
        <v>14.083</v>
      </c>
      <c r="AA68" s="130">
        <v>2030.7630000000008</v>
      </c>
      <c r="AC68" s="44" t="s">
        <v>205</v>
      </c>
      <c r="AD68" s="68">
        <v>317.77</v>
      </c>
      <c r="AE68" s="68">
        <v>989.4000000000002</v>
      </c>
      <c r="AF68" s="68">
        <v>210.42999999999998</v>
      </c>
      <c r="AG68" s="68">
        <v>157.35999999999999</v>
      </c>
      <c r="AH68" s="68">
        <v>1357.19</v>
      </c>
      <c r="AI68" s="68">
        <v>1674.96</v>
      </c>
      <c r="AJ68" s="68">
        <v>178.07</v>
      </c>
      <c r="AK68" s="68">
        <v>1853.03</v>
      </c>
      <c r="AM68" s="68" t="s">
        <v>176</v>
      </c>
      <c r="AN68" s="12">
        <v>46.41</v>
      </c>
      <c r="AO68" s="12">
        <v>1019.5700000000004</v>
      </c>
      <c r="AP68" s="12">
        <v>2580.8924999999999</v>
      </c>
      <c r="AQ68" s="12">
        <v>3965.5799999999981</v>
      </c>
      <c r="AR68" s="12">
        <v>7566.0424999999987</v>
      </c>
      <c r="AS68" s="12">
        <v>7612.4524999999994</v>
      </c>
      <c r="AT68" s="68">
        <v>333.37000000000018</v>
      </c>
      <c r="AU68" s="68">
        <v>7945.8224999999993</v>
      </c>
    </row>
    <row r="69" spans="2:47" s="68" customFormat="1" ht="13.5" customHeight="1" x14ac:dyDescent="0.25">
      <c r="B69" s="7" t="s">
        <v>37</v>
      </c>
      <c r="C69" s="65">
        <v>2520.4914007042007</v>
      </c>
      <c r="D69" s="65"/>
      <c r="E69" s="65">
        <v>636.95500000000015</v>
      </c>
      <c r="F69" s="65">
        <v>459.04700000000014</v>
      </c>
      <c r="G69" s="65">
        <v>177.90800000000002</v>
      </c>
      <c r="H69" s="65"/>
      <c r="I69" s="65">
        <v>502.86640070420003</v>
      </c>
      <c r="J69" s="33">
        <v>85.001478000000006</v>
      </c>
      <c r="K69" s="33">
        <v>417.86492270420001</v>
      </c>
      <c r="L69" s="35"/>
      <c r="M69" s="39">
        <v>1380.6700000000003</v>
      </c>
      <c r="N69" s="33">
        <v>151.54999999999995</v>
      </c>
      <c r="O69" s="33">
        <v>1229.1200000000003</v>
      </c>
      <c r="P69" s="66"/>
      <c r="Q69" s="66" t="s">
        <v>177</v>
      </c>
      <c r="R69" s="130">
        <v>565.32399999999996</v>
      </c>
      <c r="S69" s="130">
        <v>88.696000000000012</v>
      </c>
      <c r="T69" s="130">
        <v>654.02</v>
      </c>
      <c r="U69" s="67">
        <v>13.138</v>
      </c>
      <c r="V69" s="67">
        <v>68.522999999999996</v>
      </c>
      <c r="W69" s="67">
        <v>112.399</v>
      </c>
      <c r="X69" s="130">
        <v>194.06</v>
      </c>
      <c r="Y69" s="130">
        <v>848.07999999999993</v>
      </c>
      <c r="Z69" s="130">
        <v>126.55800000000001</v>
      </c>
      <c r="AA69" s="130">
        <v>974.63799999999992</v>
      </c>
      <c r="AC69" s="44" t="s">
        <v>206</v>
      </c>
      <c r="AD69" s="68">
        <v>148.2269981636</v>
      </c>
      <c r="AE69" s="68">
        <v>412.44399999999996</v>
      </c>
      <c r="AF69" s="68">
        <v>20.154</v>
      </c>
      <c r="AG69" s="68">
        <v>298.14500991850008</v>
      </c>
      <c r="AH69" s="68">
        <v>730.74300991850009</v>
      </c>
      <c r="AI69" s="68">
        <v>878.97000808210009</v>
      </c>
      <c r="AJ69" s="68">
        <v>254.815</v>
      </c>
      <c r="AK69" s="68">
        <v>1133.7850080821001</v>
      </c>
      <c r="AM69" s="68" t="s">
        <v>177</v>
      </c>
      <c r="AN69" s="12">
        <v>0.09</v>
      </c>
      <c r="AO69" s="12">
        <v>1541.67</v>
      </c>
      <c r="AP69" s="12">
        <v>651.71999999999991</v>
      </c>
      <c r="AQ69" s="12">
        <v>1211.6300000000001</v>
      </c>
      <c r="AR69" s="12">
        <v>3405.02</v>
      </c>
      <c r="AS69" s="12">
        <v>3405.1099999999997</v>
      </c>
      <c r="AT69" s="68">
        <v>22.15</v>
      </c>
      <c r="AU69" s="68">
        <v>3427.2599999999998</v>
      </c>
    </row>
    <row r="70" spans="2:47" s="68" customFormat="1" ht="13.5" customHeight="1" x14ac:dyDescent="0.25">
      <c r="B70" s="7" t="s">
        <v>38</v>
      </c>
      <c r="C70" s="65">
        <v>946.55723037431994</v>
      </c>
      <c r="D70" s="65"/>
      <c r="E70" s="65">
        <v>138.14599999999999</v>
      </c>
      <c r="F70" s="65">
        <v>138.14599999999999</v>
      </c>
      <c r="G70" s="65">
        <v>0</v>
      </c>
      <c r="H70" s="65"/>
      <c r="I70" s="65">
        <v>285.27123037432</v>
      </c>
      <c r="J70" s="33">
        <v>69.509</v>
      </c>
      <c r="K70" s="33">
        <v>215.76223037431998</v>
      </c>
      <c r="L70" s="35"/>
      <c r="M70" s="39">
        <v>523.14</v>
      </c>
      <c r="N70" s="33">
        <v>9.33</v>
      </c>
      <c r="O70" s="33">
        <v>513.80999999999995</v>
      </c>
      <c r="P70" s="66"/>
      <c r="Q70" s="66" t="s">
        <v>178</v>
      </c>
      <c r="R70" s="130">
        <v>459.04700000000014</v>
      </c>
      <c r="S70" s="130"/>
      <c r="T70" s="130">
        <v>459.04700000000014</v>
      </c>
      <c r="U70" s="67">
        <v>66.322000000000003</v>
      </c>
      <c r="V70" s="67"/>
      <c r="W70" s="67">
        <v>111.586</v>
      </c>
      <c r="X70" s="130">
        <v>177.90800000000002</v>
      </c>
      <c r="Y70" s="130">
        <v>636.95500000000015</v>
      </c>
      <c r="Z70" s="130"/>
      <c r="AA70" s="130">
        <v>636.95500000000015</v>
      </c>
      <c r="AC70" s="44" t="s">
        <v>207</v>
      </c>
      <c r="AD70" s="67">
        <v>85.001478000000006</v>
      </c>
      <c r="AE70" s="67">
        <v>411.6949227042</v>
      </c>
      <c r="AF70" s="67">
        <v>0</v>
      </c>
      <c r="AG70" s="67">
        <v>6.17</v>
      </c>
      <c r="AH70" s="67">
        <v>417.86492270420001</v>
      </c>
      <c r="AI70" s="67">
        <v>502.86640070420003</v>
      </c>
      <c r="AJ70" s="67">
        <v>31.9490018272</v>
      </c>
      <c r="AK70" s="67">
        <v>534.81540253140008</v>
      </c>
      <c r="AM70" s="67" t="s">
        <v>178</v>
      </c>
      <c r="AN70" s="12">
        <v>151.54999999999995</v>
      </c>
      <c r="AO70" s="12">
        <v>301.69</v>
      </c>
      <c r="AP70" s="12">
        <v>276.76</v>
      </c>
      <c r="AQ70" s="12">
        <v>650.67000000000019</v>
      </c>
      <c r="AR70" s="12">
        <v>1229.1200000000003</v>
      </c>
      <c r="AS70" s="12">
        <v>1380.6700000000003</v>
      </c>
      <c r="AT70" s="67">
        <v>0</v>
      </c>
      <c r="AU70" s="67">
        <v>1380.6700000000003</v>
      </c>
    </row>
    <row r="71" spans="2:47" s="68" customFormat="1" ht="13.5" customHeight="1" thickBot="1" x14ac:dyDescent="0.3">
      <c r="B71" s="13" t="s">
        <v>39</v>
      </c>
      <c r="C71" s="42">
        <v>1902.9959999999994</v>
      </c>
      <c r="D71" s="42"/>
      <c r="E71" s="42">
        <v>314.43200000000002</v>
      </c>
      <c r="F71" s="42">
        <v>221.09500000000003</v>
      </c>
      <c r="G71" s="42">
        <v>93.337000000000003</v>
      </c>
      <c r="H71" s="42"/>
      <c r="I71" s="42">
        <v>216.43399999999997</v>
      </c>
      <c r="J71" s="42">
        <v>0</v>
      </c>
      <c r="K71" s="42">
        <v>216.43399999999997</v>
      </c>
      <c r="L71" s="42"/>
      <c r="M71" s="42">
        <v>1372.1299999999994</v>
      </c>
      <c r="N71" s="42">
        <v>10.339999999999998</v>
      </c>
      <c r="O71" s="42">
        <v>1361.7899999999995</v>
      </c>
      <c r="P71" s="66"/>
      <c r="Q71" s="66" t="s">
        <v>179</v>
      </c>
      <c r="R71" s="130">
        <v>138.14599999999999</v>
      </c>
      <c r="S71" s="130"/>
      <c r="T71" s="130">
        <v>138.14599999999999</v>
      </c>
      <c r="U71" s="67"/>
      <c r="V71" s="67"/>
      <c r="W71" s="67"/>
      <c r="X71" s="130">
        <v>0</v>
      </c>
      <c r="Y71" s="130">
        <v>138.14599999999999</v>
      </c>
      <c r="Z71" s="130">
        <v>8.7870000000000008</v>
      </c>
      <c r="AA71" s="130">
        <v>146.93299999999999</v>
      </c>
      <c r="AC71" s="44" t="s">
        <v>208</v>
      </c>
      <c r="AD71" s="67">
        <v>69.509</v>
      </c>
      <c r="AE71" s="132">
        <v>22.907231050219998</v>
      </c>
      <c r="AF71" s="132">
        <v>144.3079996877</v>
      </c>
      <c r="AG71" s="132">
        <v>48.546999636399995</v>
      </c>
      <c r="AH71" s="67">
        <v>215.76223037431998</v>
      </c>
      <c r="AI71" s="67">
        <v>285.27123037432</v>
      </c>
      <c r="AJ71" s="132">
        <v>26.399000000000001</v>
      </c>
      <c r="AK71" s="67">
        <v>311.67023037432</v>
      </c>
      <c r="AM71" s="132" t="s">
        <v>179</v>
      </c>
      <c r="AN71" s="12">
        <v>9.33</v>
      </c>
      <c r="AO71" s="12">
        <v>48.03</v>
      </c>
      <c r="AP71" s="12">
        <v>174.19</v>
      </c>
      <c r="AQ71" s="12">
        <v>291.59000000000003</v>
      </c>
      <c r="AR71" s="12">
        <v>513.80999999999995</v>
      </c>
      <c r="AS71" s="12">
        <v>523.14</v>
      </c>
      <c r="AT71" s="67">
        <v>0</v>
      </c>
      <c r="AU71" s="67">
        <v>523.14</v>
      </c>
    </row>
    <row r="72" spans="2:47" ht="27" customHeight="1" thickBot="1" x14ac:dyDescent="0.35">
      <c r="B72" s="162" t="s">
        <v>54</v>
      </c>
      <c r="C72" s="162"/>
      <c r="D72" s="162"/>
      <c r="E72" s="162"/>
      <c r="F72" s="162"/>
      <c r="G72" s="162"/>
      <c r="H72" s="162"/>
      <c r="I72" s="162"/>
      <c r="J72" s="162"/>
      <c r="K72" s="162"/>
      <c r="L72" s="162"/>
      <c r="M72" s="162"/>
      <c r="N72" s="162"/>
      <c r="O72" s="59"/>
      <c r="Q72" s="133" t="s">
        <v>53</v>
      </c>
      <c r="R72" s="134">
        <v>212.33700000000002</v>
      </c>
      <c r="S72" s="134">
        <v>8.7580000000000009</v>
      </c>
      <c r="T72" s="134">
        <v>221.09500000000003</v>
      </c>
      <c r="U72" s="135">
        <v>93.337000000000003</v>
      </c>
      <c r="V72" s="135"/>
      <c r="W72" s="135"/>
      <c r="X72" s="134">
        <v>93.337000000000003</v>
      </c>
      <c r="Y72" s="134">
        <v>314.43200000000002</v>
      </c>
      <c r="Z72" s="134">
        <v>141.4</v>
      </c>
      <c r="AA72" s="134">
        <v>455.83199999999999</v>
      </c>
      <c r="AB72" s="67"/>
      <c r="AC72" s="136" t="s">
        <v>209</v>
      </c>
      <c r="AD72" s="135">
        <v>0</v>
      </c>
      <c r="AE72" s="135">
        <v>0</v>
      </c>
      <c r="AF72" s="135">
        <v>66.49799999999999</v>
      </c>
      <c r="AG72" s="135">
        <v>149.93599999999998</v>
      </c>
      <c r="AH72" s="135">
        <v>216.43399999999997</v>
      </c>
      <c r="AI72" s="135">
        <v>216.43399999999997</v>
      </c>
      <c r="AJ72" s="135">
        <v>139.55799999999999</v>
      </c>
      <c r="AK72" s="135">
        <v>355.99199999999996</v>
      </c>
      <c r="AL72" s="68"/>
      <c r="AM72" s="135" t="s">
        <v>53</v>
      </c>
      <c r="AN72" s="124">
        <v>10.339999999999998</v>
      </c>
      <c r="AO72" s="124">
        <v>16.73</v>
      </c>
      <c r="AP72" s="124">
        <v>521.67999999999961</v>
      </c>
      <c r="AQ72" s="124">
        <v>823.37999999999988</v>
      </c>
      <c r="AR72" s="124">
        <v>1361.7899999999995</v>
      </c>
      <c r="AS72" s="124">
        <v>1372.1299999999994</v>
      </c>
      <c r="AT72" s="135">
        <v>2.23</v>
      </c>
      <c r="AU72" s="135">
        <v>1374.3599999999994</v>
      </c>
    </row>
    <row r="73" spans="2:47" ht="15" customHeight="1" x14ac:dyDescent="0.3">
      <c r="B73" s="58" t="s">
        <v>57</v>
      </c>
      <c r="Q73" s="190" t="s">
        <v>180</v>
      </c>
      <c r="R73" s="190"/>
      <c r="S73" s="190"/>
      <c r="T73" s="190"/>
      <c r="U73" s="190"/>
      <c r="V73" s="190"/>
      <c r="W73" s="190"/>
      <c r="X73" s="190"/>
      <c r="Y73" s="190"/>
      <c r="Z73" s="190"/>
      <c r="AA73" s="190"/>
      <c r="AC73" s="137" t="s">
        <v>180</v>
      </c>
      <c r="AD73" s="138"/>
      <c r="AE73" s="138"/>
      <c r="AF73" s="138"/>
      <c r="AG73" s="138"/>
      <c r="AH73" s="138"/>
      <c r="AI73" s="138"/>
      <c r="AJ73" s="138"/>
      <c r="AK73" s="138"/>
      <c r="AL73" s="138"/>
      <c r="AM73" s="137" t="s">
        <v>180</v>
      </c>
    </row>
    <row r="74" spans="2:47" ht="11.25" customHeight="1" x14ac:dyDescent="0.3">
      <c r="B74" s="15" t="s">
        <v>58</v>
      </c>
      <c r="Q74" s="137" t="s">
        <v>210</v>
      </c>
      <c r="R74" s="137"/>
      <c r="S74" s="137"/>
      <c r="T74" s="137"/>
      <c r="U74" s="137"/>
      <c r="V74" s="137"/>
      <c r="W74" s="137"/>
      <c r="X74" s="137"/>
      <c r="Y74" s="137"/>
      <c r="Z74" s="137"/>
      <c r="AA74" s="137"/>
      <c r="AC74" s="137" t="s">
        <v>210</v>
      </c>
      <c r="AD74" s="137"/>
      <c r="AE74" s="137"/>
      <c r="AF74" s="137"/>
      <c r="AG74" s="137"/>
      <c r="AH74" s="137"/>
      <c r="AI74" s="137"/>
      <c r="AJ74" s="137"/>
      <c r="AK74" s="137"/>
      <c r="AL74" s="137"/>
      <c r="AM74" s="137" t="s">
        <v>210</v>
      </c>
      <c r="AU74" s="139"/>
    </row>
    <row r="75" spans="2:47" x14ac:dyDescent="0.3">
      <c r="Q75" s="137" t="s">
        <v>182</v>
      </c>
      <c r="R75" s="137"/>
      <c r="S75" s="137"/>
      <c r="T75" s="137"/>
      <c r="U75" s="137"/>
      <c r="V75" s="137"/>
      <c r="W75" s="137"/>
      <c r="X75" s="137"/>
      <c r="Y75" s="137"/>
      <c r="Z75" s="137"/>
      <c r="AA75" s="137"/>
      <c r="AC75" s="190" t="s">
        <v>183</v>
      </c>
      <c r="AD75" s="191"/>
      <c r="AE75" s="191"/>
      <c r="AF75" s="191"/>
      <c r="AG75" s="191"/>
      <c r="AH75" s="191"/>
      <c r="AI75" s="191"/>
      <c r="AJ75" s="191"/>
      <c r="AK75" s="191"/>
      <c r="AL75" s="137"/>
      <c r="AM75" s="137" t="s">
        <v>184</v>
      </c>
    </row>
    <row r="76" spans="2:47" x14ac:dyDescent="0.3">
      <c r="AE76" s="100"/>
      <c r="AF76" s="100"/>
      <c r="AG76" s="100"/>
      <c r="AH76" s="100"/>
      <c r="AI76" s="100"/>
      <c r="AJ76" s="100"/>
      <c r="AK76" s="100"/>
    </row>
  </sheetData>
  <mergeCells count="82">
    <mergeCell ref="AN45:AN46"/>
    <mergeCell ref="AO45:AR45"/>
    <mergeCell ref="AS45:AS46"/>
    <mergeCell ref="Q73:AA73"/>
    <mergeCell ref="AC75:AK75"/>
    <mergeCell ref="U45:X45"/>
    <mergeCell ref="Y45:Y46"/>
    <mergeCell ref="AD45:AD46"/>
    <mergeCell ref="AE45:AH45"/>
    <mergeCell ref="AI45:AI46"/>
    <mergeCell ref="Q43:AA43"/>
    <mergeCell ref="AC43:AK43"/>
    <mergeCell ref="AM43:AU43"/>
    <mergeCell ref="Q44:Q46"/>
    <mergeCell ref="R44:Y44"/>
    <mergeCell ref="Z44:Z46"/>
    <mergeCell ref="AA44:AA46"/>
    <mergeCell ref="AC44:AC46"/>
    <mergeCell ref="AD44:AI44"/>
    <mergeCell ref="AJ44:AJ46"/>
    <mergeCell ref="AK44:AK46"/>
    <mergeCell ref="AM44:AM46"/>
    <mergeCell ref="AN44:AS44"/>
    <mergeCell ref="AT44:AT46"/>
    <mergeCell ref="AU44:AU46"/>
    <mergeCell ref="R45:T45"/>
    <mergeCell ref="Q41:AA41"/>
    <mergeCell ref="AC41:AK41"/>
    <mergeCell ref="AM41:AU41"/>
    <mergeCell ref="Q42:AA42"/>
    <mergeCell ref="AC42:AK42"/>
    <mergeCell ref="AM42:AU42"/>
    <mergeCell ref="AN7:AN8"/>
    <mergeCell ref="AO7:AR7"/>
    <mergeCell ref="AS7:AS8"/>
    <mergeCell ref="Q35:AA35"/>
    <mergeCell ref="AC37:AK37"/>
    <mergeCell ref="U7:X7"/>
    <mergeCell ref="Y7:Y8"/>
    <mergeCell ref="AD7:AD8"/>
    <mergeCell ref="AE7:AH7"/>
    <mergeCell ref="AI7:AI8"/>
    <mergeCell ref="Q3:AA3"/>
    <mergeCell ref="AC3:AK3"/>
    <mergeCell ref="AM3:AU3"/>
    <mergeCell ref="Q6:Q8"/>
    <mergeCell ref="R6:Y6"/>
    <mergeCell ref="Z6:Z8"/>
    <mergeCell ref="AA6:AA8"/>
    <mergeCell ref="AC6:AC8"/>
    <mergeCell ref="AD6:AI6"/>
    <mergeCell ref="AJ6:AJ8"/>
    <mergeCell ref="AK6:AK8"/>
    <mergeCell ref="AM6:AM8"/>
    <mergeCell ref="AN6:AS6"/>
    <mergeCell ref="AT6:AT8"/>
    <mergeCell ref="AU6:AU8"/>
    <mergeCell ref="R7:T7"/>
    <mergeCell ref="Q1:AA1"/>
    <mergeCell ref="AC1:AK1"/>
    <mergeCell ref="AM1:AU1"/>
    <mergeCell ref="Q2:AA2"/>
    <mergeCell ref="AC2:AK2"/>
    <mergeCell ref="AM2:AU2"/>
    <mergeCell ref="B72:N72"/>
    <mergeCell ref="B44:B45"/>
    <mergeCell ref="C44:C45"/>
    <mergeCell ref="E44:G44"/>
    <mergeCell ref="I44:K44"/>
    <mergeCell ref="M44:O44"/>
    <mergeCell ref="B41:O41"/>
    <mergeCell ref="B35:N35"/>
    <mergeCell ref="B7:B8"/>
    <mergeCell ref="C7:C8"/>
    <mergeCell ref="E7:G7"/>
    <mergeCell ref="I7:K7"/>
    <mergeCell ref="M7:O7"/>
    <mergeCell ref="B3:O3"/>
    <mergeCell ref="B4:O4"/>
    <mergeCell ref="B6:O6"/>
    <mergeCell ref="B2:O2"/>
    <mergeCell ref="B40:O4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P76"/>
  <sheetViews>
    <sheetView topLeftCell="A34" zoomScale="70" zoomScaleNormal="70" workbookViewId="0">
      <selection activeCell="J82" sqref="J82"/>
    </sheetView>
  </sheetViews>
  <sheetFormatPr baseColWidth="10" defaultColWidth="11.42578125" defaultRowHeight="16.5" x14ac:dyDescent="0.3"/>
  <cols>
    <col min="1" max="1" width="5.28515625" style="1" customWidth="1"/>
    <col min="2" max="2" width="22.7109375" style="1" customWidth="1"/>
    <col min="3" max="3" width="15.5703125" style="1" customWidth="1"/>
    <col min="4" max="4" width="3.7109375" style="1" customWidth="1"/>
    <col min="5" max="5" width="11.42578125" style="1"/>
    <col min="6" max="6" width="15" style="1" customWidth="1"/>
    <col min="7" max="7" width="17.28515625" style="1" customWidth="1"/>
    <col min="8" max="8" width="2" style="1" customWidth="1"/>
    <col min="9" max="9" width="11.42578125" style="1"/>
    <col min="10" max="10" width="13" style="1" bestFit="1" customWidth="1"/>
    <col min="11" max="11" width="16.5703125" style="1" customWidth="1"/>
    <col min="12" max="12" width="5.28515625" style="1" customWidth="1"/>
    <col min="13" max="13" width="14.42578125" style="1" bestFit="1" customWidth="1"/>
    <col min="14" max="14" width="14.42578125" style="1" customWidth="1"/>
    <col min="15" max="15" width="16.42578125" style="1" customWidth="1"/>
    <col min="16" max="16" width="7.7109375" style="1" customWidth="1"/>
    <col min="17" max="16384" width="11.42578125" style="1"/>
  </cols>
  <sheetData>
    <row r="3" spans="2:16" ht="30.75" customHeight="1" x14ac:dyDescent="0.3">
      <c r="B3" s="145" t="s">
        <v>136</v>
      </c>
      <c r="C3" s="145"/>
      <c r="D3" s="145"/>
      <c r="E3" s="145"/>
      <c r="F3" s="145"/>
      <c r="G3" s="145"/>
      <c r="H3" s="145"/>
      <c r="I3" s="145"/>
      <c r="J3" s="145"/>
      <c r="K3" s="145"/>
      <c r="L3" s="145"/>
      <c r="M3" s="145"/>
      <c r="N3" s="145"/>
      <c r="O3" s="145"/>
    </row>
    <row r="4" spans="2:16" ht="16.5" customHeight="1" x14ac:dyDescent="0.3">
      <c r="B4" s="192" t="s">
        <v>59</v>
      </c>
      <c r="C4" s="192"/>
      <c r="D4" s="192"/>
      <c r="E4" s="192"/>
      <c r="F4" s="192"/>
      <c r="G4" s="192"/>
      <c r="H4" s="192"/>
      <c r="I4" s="192"/>
      <c r="J4" s="192"/>
      <c r="K4" s="192"/>
      <c r="L4" s="192"/>
      <c r="M4" s="192"/>
      <c r="N4" s="192"/>
      <c r="O4" s="192"/>
    </row>
    <row r="6" spans="2:16" ht="17.25" customHeight="1" thickBot="1" x14ac:dyDescent="0.35">
      <c r="B6" s="161" t="s">
        <v>2</v>
      </c>
      <c r="C6" s="161"/>
      <c r="D6" s="161"/>
      <c r="E6" s="161"/>
      <c r="F6" s="161"/>
      <c r="G6" s="161"/>
      <c r="H6" s="161"/>
      <c r="I6" s="161"/>
      <c r="J6" s="161"/>
      <c r="K6" s="161"/>
      <c r="L6" s="161"/>
      <c r="M6" s="161"/>
      <c r="N6" s="161"/>
      <c r="O6" s="161"/>
    </row>
    <row r="7" spans="2:16" ht="21.75" customHeight="1" x14ac:dyDescent="0.3">
      <c r="B7" s="147" t="s">
        <v>3</v>
      </c>
      <c r="C7" s="149" t="s">
        <v>4</v>
      </c>
      <c r="D7" s="54"/>
      <c r="E7" s="151" t="s">
        <v>5</v>
      </c>
      <c r="F7" s="151"/>
      <c r="G7" s="151"/>
      <c r="H7" s="3"/>
      <c r="I7" s="151" t="s">
        <v>6</v>
      </c>
      <c r="J7" s="151"/>
      <c r="K7" s="151"/>
      <c r="L7" s="3"/>
      <c r="M7" s="151" t="s">
        <v>52</v>
      </c>
      <c r="N7" s="151"/>
      <c r="O7" s="151"/>
    </row>
    <row r="8" spans="2:16" ht="32.25" customHeight="1" thickBot="1" x14ac:dyDescent="0.35">
      <c r="B8" s="148"/>
      <c r="C8" s="150"/>
      <c r="D8" s="5"/>
      <c r="E8" s="4" t="s">
        <v>8</v>
      </c>
      <c r="F8" s="4" t="s">
        <v>9</v>
      </c>
      <c r="G8" s="4" t="s">
        <v>10</v>
      </c>
      <c r="H8" s="5"/>
      <c r="I8" s="4" t="s">
        <v>11</v>
      </c>
      <c r="J8" s="4" t="s">
        <v>12</v>
      </c>
      <c r="K8" s="4" t="s">
        <v>10</v>
      </c>
      <c r="L8" s="5"/>
      <c r="M8" s="4" t="s">
        <v>11</v>
      </c>
      <c r="N8" s="4" t="s">
        <v>12</v>
      </c>
      <c r="O8" s="4" t="s">
        <v>10</v>
      </c>
    </row>
    <row r="9" spans="2:16" ht="20.25" customHeight="1" x14ac:dyDescent="0.3">
      <c r="B9" s="55" t="s">
        <v>13</v>
      </c>
      <c r="C9" s="30">
        <v>157278.14700000003</v>
      </c>
      <c r="D9" s="30"/>
      <c r="E9" s="30">
        <v>25400.358000000011</v>
      </c>
      <c r="F9" s="30">
        <v>16186.713999999998</v>
      </c>
      <c r="G9" s="30">
        <v>9213.6440000000002</v>
      </c>
      <c r="H9" s="30"/>
      <c r="I9" s="30">
        <v>25330.022000000004</v>
      </c>
      <c r="J9" s="30">
        <v>2555.7760000000003</v>
      </c>
      <c r="K9" s="30">
        <v>22774.245999999999</v>
      </c>
      <c r="L9" s="30"/>
      <c r="M9" s="30">
        <v>106547.76700000002</v>
      </c>
      <c r="N9" s="30">
        <v>1947.9399999999994</v>
      </c>
      <c r="O9" s="30">
        <v>104599.827</v>
      </c>
    </row>
    <row r="10" spans="2:16" s="44" customFormat="1" ht="13.5" customHeight="1" x14ac:dyDescent="0.25">
      <c r="B10" s="11" t="s">
        <v>14</v>
      </c>
      <c r="C10" s="33">
        <v>3321.3679999999995</v>
      </c>
      <c r="D10" s="33"/>
      <c r="E10" s="33">
        <v>851.06699999999989</v>
      </c>
      <c r="F10" s="33">
        <v>581.89999999999986</v>
      </c>
      <c r="G10" s="39">
        <v>269.16700000000003</v>
      </c>
      <c r="H10" s="35"/>
      <c r="I10" s="33">
        <v>726.84100000000001</v>
      </c>
      <c r="J10" s="33">
        <v>31.281000000000002</v>
      </c>
      <c r="K10" s="33">
        <v>695.56000000000006</v>
      </c>
      <c r="L10" s="35"/>
      <c r="M10" s="33">
        <v>1743.4599999999996</v>
      </c>
      <c r="N10" s="33">
        <v>0</v>
      </c>
      <c r="O10" s="33">
        <v>1743.4599999999996</v>
      </c>
      <c r="P10" s="56"/>
    </row>
    <row r="11" spans="2:16" s="44" customFormat="1" ht="13.5" customHeight="1" x14ac:dyDescent="0.25">
      <c r="B11" s="7" t="s">
        <v>15</v>
      </c>
      <c r="C11" s="33">
        <v>10830.453999999994</v>
      </c>
      <c r="D11" s="33"/>
      <c r="E11" s="33">
        <v>1649.5189999999996</v>
      </c>
      <c r="F11" s="33">
        <v>955.9069999999997</v>
      </c>
      <c r="G11" s="39">
        <v>693.61199999999985</v>
      </c>
      <c r="H11" s="35"/>
      <c r="I11" s="33">
        <v>1448.69</v>
      </c>
      <c r="J11" s="33">
        <v>206.1</v>
      </c>
      <c r="K11" s="33">
        <v>1242.5900000000001</v>
      </c>
      <c r="L11" s="35"/>
      <c r="M11" s="33">
        <v>7732.2449999999935</v>
      </c>
      <c r="N11" s="33">
        <v>137.92000000000007</v>
      </c>
      <c r="O11" s="33">
        <v>7594.3249999999935</v>
      </c>
      <c r="P11" s="56"/>
    </row>
    <row r="12" spans="2:16" s="44" customFormat="1" ht="13.5" customHeight="1" x14ac:dyDescent="0.25">
      <c r="B12" s="7" t="s">
        <v>16</v>
      </c>
      <c r="C12" s="33">
        <v>7466.5829999999987</v>
      </c>
      <c r="D12" s="33"/>
      <c r="E12" s="33">
        <v>1104.518</v>
      </c>
      <c r="F12" s="33">
        <v>576.36700000000008</v>
      </c>
      <c r="G12" s="39">
        <v>528.15099999999995</v>
      </c>
      <c r="H12" s="35"/>
      <c r="I12" s="33">
        <v>1351.0840000000003</v>
      </c>
      <c r="J12" s="33">
        <v>0</v>
      </c>
      <c r="K12" s="33">
        <v>1351.0840000000003</v>
      </c>
      <c r="L12" s="35"/>
      <c r="M12" s="33">
        <v>5010.9809999999989</v>
      </c>
      <c r="N12" s="33">
        <v>7.27</v>
      </c>
      <c r="O12" s="33">
        <v>5003.7109999999984</v>
      </c>
      <c r="P12" s="56"/>
    </row>
    <row r="13" spans="2:16" s="44" customFormat="1" ht="13.5" customHeight="1" x14ac:dyDescent="0.25">
      <c r="B13" s="7" t="s">
        <v>17</v>
      </c>
      <c r="C13" s="33">
        <v>9177.5989999999983</v>
      </c>
      <c r="D13" s="33"/>
      <c r="E13" s="33">
        <v>1435.9169999999995</v>
      </c>
      <c r="F13" s="33">
        <v>989.80299999999943</v>
      </c>
      <c r="G13" s="39">
        <v>446.11400000000009</v>
      </c>
      <c r="H13" s="35"/>
      <c r="I13" s="33">
        <v>1739.3399999999997</v>
      </c>
      <c r="J13" s="33">
        <v>531.21799999999996</v>
      </c>
      <c r="K13" s="33">
        <v>1208.1219999999998</v>
      </c>
      <c r="L13" s="35"/>
      <c r="M13" s="33">
        <v>6002.3419999999987</v>
      </c>
      <c r="N13" s="33">
        <v>394.08999999999992</v>
      </c>
      <c r="O13" s="33">
        <v>5608.2519999999986</v>
      </c>
      <c r="P13" s="56"/>
    </row>
    <row r="14" spans="2:16" s="44" customFormat="1" ht="13.5" customHeight="1" x14ac:dyDescent="0.25">
      <c r="B14" s="7" t="s">
        <v>18</v>
      </c>
      <c r="C14" s="33">
        <v>11451.111999999997</v>
      </c>
      <c r="D14" s="33"/>
      <c r="E14" s="33">
        <v>1733.6669999999999</v>
      </c>
      <c r="F14" s="33">
        <v>818.10099999999989</v>
      </c>
      <c r="G14" s="39">
        <v>915.56600000000014</v>
      </c>
      <c r="H14" s="35"/>
      <c r="I14" s="33">
        <v>1903.6450000000002</v>
      </c>
      <c r="J14" s="33">
        <v>8.6479999999999997</v>
      </c>
      <c r="K14" s="33">
        <v>1894.9970000000003</v>
      </c>
      <c r="L14" s="35"/>
      <c r="M14" s="33">
        <v>7813.7999999999975</v>
      </c>
      <c r="N14" s="33">
        <v>23.880000000000003</v>
      </c>
      <c r="O14" s="33">
        <v>7789.9199999999973</v>
      </c>
      <c r="P14" s="56"/>
    </row>
    <row r="15" spans="2:16" s="44" customFormat="1" ht="13.5" customHeight="1" x14ac:dyDescent="0.25">
      <c r="B15" s="7" t="s">
        <v>19</v>
      </c>
      <c r="C15" s="33">
        <v>13960.318000000012</v>
      </c>
      <c r="D15" s="33"/>
      <c r="E15" s="33">
        <v>1748.4719999999998</v>
      </c>
      <c r="F15" s="33">
        <v>1201.5539999999996</v>
      </c>
      <c r="G15" s="39">
        <v>546.91800000000001</v>
      </c>
      <c r="H15" s="35"/>
      <c r="I15" s="33">
        <v>855.68500000000006</v>
      </c>
      <c r="J15" s="33">
        <v>31.779</v>
      </c>
      <c r="K15" s="33">
        <v>823.90600000000006</v>
      </c>
      <c r="L15" s="35"/>
      <c r="M15" s="33">
        <v>11356.161000000013</v>
      </c>
      <c r="N15" s="33">
        <v>37.969999999999985</v>
      </c>
      <c r="O15" s="33">
        <v>11318.191000000013</v>
      </c>
      <c r="P15" s="56"/>
    </row>
    <row r="16" spans="2:16" s="44" customFormat="1" ht="13.5" customHeight="1" x14ac:dyDescent="0.25">
      <c r="B16" s="7" t="s">
        <v>20</v>
      </c>
      <c r="C16" s="33">
        <v>89.62700000000001</v>
      </c>
      <c r="D16" s="33"/>
      <c r="E16" s="33">
        <v>37.786999999999999</v>
      </c>
      <c r="F16" s="33">
        <v>37.786999999999999</v>
      </c>
      <c r="G16" s="39">
        <v>0</v>
      </c>
      <c r="H16" s="35"/>
      <c r="I16" s="33">
        <v>51.84</v>
      </c>
      <c r="J16" s="33">
        <v>51.84</v>
      </c>
      <c r="K16" s="33">
        <v>0</v>
      </c>
      <c r="L16" s="35"/>
      <c r="M16" s="33">
        <v>0</v>
      </c>
      <c r="N16" s="33">
        <v>0</v>
      </c>
      <c r="O16" s="33">
        <v>0</v>
      </c>
      <c r="P16" s="56"/>
    </row>
    <row r="17" spans="2:16" s="44" customFormat="1" ht="13.5" customHeight="1" x14ac:dyDescent="0.25">
      <c r="B17" s="7" t="s">
        <v>21</v>
      </c>
      <c r="C17" s="33">
        <v>14192.23000000003</v>
      </c>
      <c r="D17" s="33"/>
      <c r="E17" s="33">
        <v>1817.8589999999999</v>
      </c>
      <c r="F17" s="33">
        <v>1187.6959999999999</v>
      </c>
      <c r="G17" s="39">
        <v>630.1629999999999</v>
      </c>
      <c r="H17" s="35"/>
      <c r="I17" s="33">
        <v>2786.8830000000007</v>
      </c>
      <c r="J17" s="33">
        <v>93.441999999999993</v>
      </c>
      <c r="K17" s="33">
        <v>2693.4410000000007</v>
      </c>
      <c r="L17" s="35"/>
      <c r="M17" s="33">
        <v>9587.4880000000303</v>
      </c>
      <c r="N17" s="33">
        <v>121.07999999999996</v>
      </c>
      <c r="O17" s="33">
        <v>9466.4080000000304</v>
      </c>
      <c r="P17" s="56"/>
    </row>
    <row r="18" spans="2:16" s="44" customFormat="1" ht="13.5" customHeight="1" x14ac:dyDescent="0.25">
      <c r="B18" s="7" t="s">
        <v>22</v>
      </c>
      <c r="C18" s="33">
        <v>8134.7379999999994</v>
      </c>
      <c r="D18" s="33"/>
      <c r="E18" s="33">
        <v>1409.3120000000001</v>
      </c>
      <c r="F18" s="33">
        <v>546.17800000000011</v>
      </c>
      <c r="G18" s="39">
        <v>863.13400000000001</v>
      </c>
      <c r="H18" s="35"/>
      <c r="I18" s="33">
        <v>1440.9360000000001</v>
      </c>
      <c r="J18" s="33">
        <v>0</v>
      </c>
      <c r="K18" s="33">
        <v>1440.9360000000001</v>
      </c>
      <c r="L18" s="35"/>
      <c r="M18" s="33">
        <v>5284.4899999999989</v>
      </c>
      <c r="N18" s="33">
        <v>0.66</v>
      </c>
      <c r="O18" s="33">
        <v>5283.829999999999</v>
      </c>
      <c r="P18" s="56"/>
    </row>
    <row r="19" spans="2:16" s="44" customFormat="1" ht="13.5" customHeight="1" x14ac:dyDescent="0.25">
      <c r="B19" s="7" t="s">
        <v>23</v>
      </c>
      <c r="C19" s="33">
        <v>7588.887999999999</v>
      </c>
      <c r="D19" s="33"/>
      <c r="E19" s="33">
        <v>1225.8449999999998</v>
      </c>
      <c r="F19" s="33">
        <v>553.88299999999981</v>
      </c>
      <c r="G19" s="39">
        <v>671.96199999999999</v>
      </c>
      <c r="H19" s="35"/>
      <c r="I19" s="33">
        <v>721.03300000000002</v>
      </c>
      <c r="J19" s="33">
        <v>15.984000000000002</v>
      </c>
      <c r="K19" s="33">
        <v>705.04899999999998</v>
      </c>
      <c r="L19" s="35"/>
      <c r="M19" s="33">
        <v>5642.0099999999993</v>
      </c>
      <c r="N19" s="33">
        <v>4.2</v>
      </c>
      <c r="O19" s="33">
        <v>5637.8099999999995</v>
      </c>
      <c r="P19" s="56"/>
    </row>
    <row r="20" spans="2:16" s="44" customFormat="1" ht="13.5" customHeight="1" x14ac:dyDescent="0.25">
      <c r="B20" s="7" t="s">
        <v>24</v>
      </c>
      <c r="C20" s="33">
        <v>3404.32</v>
      </c>
      <c r="D20" s="33"/>
      <c r="E20" s="33">
        <v>656.66599999999994</v>
      </c>
      <c r="F20" s="33">
        <v>588</v>
      </c>
      <c r="G20" s="39">
        <v>68.665999999999997</v>
      </c>
      <c r="H20" s="35"/>
      <c r="I20" s="33">
        <v>743.9140000000001</v>
      </c>
      <c r="J20" s="33">
        <v>48.940999999999995</v>
      </c>
      <c r="K20" s="33">
        <v>694.97300000000007</v>
      </c>
      <c r="L20" s="35"/>
      <c r="M20" s="33">
        <v>2003.7400000000002</v>
      </c>
      <c r="N20" s="33">
        <v>82.019999999999982</v>
      </c>
      <c r="O20" s="33">
        <v>1921.7200000000003</v>
      </c>
      <c r="P20" s="56"/>
    </row>
    <row r="21" spans="2:16" s="44" customFormat="1" ht="13.5" customHeight="1" x14ac:dyDescent="0.25">
      <c r="B21" s="7" t="s">
        <v>25</v>
      </c>
      <c r="C21" s="33">
        <v>10127.058000000001</v>
      </c>
      <c r="D21" s="33"/>
      <c r="E21" s="33">
        <v>1392.0199999999998</v>
      </c>
      <c r="F21" s="33">
        <v>934.31499999999971</v>
      </c>
      <c r="G21" s="39">
        <v>457.70499999999998</v>
      </c>
      <c r="H21" s="35"/>
      <c r="I21" s="33">
        <v>894.99400000000037</v>
      </c>
      <c r="J21" s="33">
        <v>14.579999999999998</v>
      </c>
      <c r="K21" s="33">
        <v>880.41400000000033</v>
      </c>
      <c r="L21" s="35"/>
      <c r="M21" s="33">
        <v>7840.0440000000017</v>
      </c>
      <c r="N21" s="33">
        <v>225.5799999999999</v>
      </c>
      <c r="O21" s="33">
        <v>7614.4640000000018</v>
      </c>
      <c r="P21" s="56"/>
    </row>
    <row r="22" spans="2:16" s="44" customFormat="1" ht="13.5" customHeight="1" x14ac:dyDescent="0.25">
      <c r="B22" s="7" t="s">
        <v>26</v>
      </c>
      <c r="C22" s="33">
        <v>7550.97</v>
      </c>
      <c r="D22" s="33"/>
      <c r="E22" s="33">
        <v>1238.2309999999998</v>
      </c>
      <c r="F22" s="33">
        <v>609.69900000000007</v>
      </c>
      <c r="G22" s="39">
        <v>628.5319999999997</v>
      </c>
      <c r="H22" s="35"/>
      <c r="I22" s="33">
        <v>1765.93</v>
      </c>
      <c r="J22" s="33">
        <v>92.015999999999991</v>
      </c>
      <c r="K22" s="33">
        <v>1673.914</v>
      </c>
      <c r="L22" s="35"/>
      <c r="M22" s="33">
        <v>4546.8090000000002</v>
      </c>
      <c r="N22" s="33">
        <v>155.95000000000002</v>
      </c>
      <c r="O22" s="33">
        <v>4390.8590000000004</v>
      </c>
      <c r="P22" s="56"/>
    </row>
    <row r="23" spans="2:16" s="44" customFormat="1" ht="13.5" customHeight="1" x14ac:dyDescent="0.25">
      <c r="B23" s="7" t="s">
        <v>27</v>
      </c>
      <c r="C23" s="33">
        <v>3191.3980000000006</v>
      </c>
      <c r="D23" s="33"/>
      <c r="E23" s="33">
        <v>469.024</v>
      </c>
      <c r="F23" s="33">
        <v>446.83699999999999</v>
      </c>
      <c r="G23" s="39">
        <v>22.187000000000001</v>
      </c>
      <c r="H23" s="35"/>
      <c r="I23" s="33">
        <v>642.53700000000015</v>
      </c>
      <c r="J23" s="33">
        <v>213.75100000000006</v>
      </c>
      <c r="K23" s="33">
        <v>428.78600000000006</v>
      </c>
      <c r="L23" s="35"/>
      <c r="M23" s="33">
        <v>2079.8370000000004</v>
      </c>
      <c r="N23" s="33">
        <v>27.549999999999997</v>
      </c>
      <c r="O23" s="33">
        <v>2052.2870000000003</v>
      </c>
      <c r="P23" s="56"/>
    </row>
    <row r="24" spans="2:16" s="44" customFormat="1" ht="13.5" customHeight="1" x14ac:dyDescent="0.25">
      <c r="B24" s="7" t="s">
        <v>28</v>
      </c>
      <c r="C24" s="33">
        <v>7553.1029999999982</v>
      </c>
      <c r="D24" s="33"/>
      <c r="E24" s="33">
        <v>1700.0569999999998</v>
      </c>
      <c r="F24" s="33">
        <v>1115.471</v>
      </c>
      <c r="G24" s="39">
        <v>584.5859999999999</v>
      </c>
      <c r="H24" s="35"/>
      <c r="I24" s="33">
        <v>1586.4599999999998</v>
      </c>
      <c r="J24" s="33">
        <v>123.14999999999999</v>
      </c>
      <c r="K24" s="33">
        <v>1463.3099999999997</v>
      </c>
      <c r="L24" s="35"/>
      <c r="M24" s="33">
        <v>4266.5859999999984</v>
      </c>
      <c r="N24" s="33">
        <v>180.53</v>
      </c>
      <c r="O24" s="33">
        <v>4086.0559999999982</v>
      </c>
      <c r="P24" s="56"/>
    </row>
    <row r="25" spans="2:16" s="44" customFormat="1" ht="13.5" customHeight="1" x14ac:dyDescent="0.25">
      <c r="B25" s="7" t="s">
        <v>29</v>
      </c>
      <c r="C25" s="33">
        <v>961.44400000000007</v>
      </c>
      <c r="D25" s="33"/>
      <c r="E25" s="33">
        <v>87.884000000000015</v>
      </c>
      <c r="F25" s="33">
        <v>43.085000000000008</v>
      </c>
      <c r="G25" s="39">
        <v>44.798999999999999</v>
      </c>
      <c r="H25" s="35"/>
      <c r="I25" s="33">
        <v>436.69</v>
      </c>
      <c r="J25" s="33">
        <v>108.56</v>
      </c>
      <c r="K25" s="33">
        <v>328.13</v>
      </c>
      <c r="L25" s="35"/>
      <c r="M25" s="33">
        <v>436.87</v>
      </c>
      <c r="N25" s="33">
        <v>19.079999999999998</v>
      </c>
      <c r="O25" s="33">
        <v>417.79</v>
      </c>
      <c r="P25" s="56"/>
    </row>
    <row r="26" spans="2:16" s="44" customFormat="1" ht="13.5" customHeight="1" x14ac:dyDescent="0.25">
      <c r="B26" s="7" t="s">
        <v>30</v>
      </c>
      <c r="C26" s="33">
        <v>1994.9060000000004</v>
      </c>
      <c r="D26" s="33"/>
      <c r="E26" s="33">
        <v>399.2759999999999</v>
      </c>
      <c r="F26" s="33">
        <v>399.2759999999999</v>
      </c>
      <c r="G26" s="39">
        <v>0</v>
      </c>
      <c r="H26" s="35"/>
      <c r="I26" s="33">
        <v>179.63</v>
      </c>
      <c r="J26" s="33">
        <v>2.4900000000000002</v>
      </c>
      <c r="K26" s="33">
        <v>177.14</v>
      </c>
      <c r="L26" s="35"/>
      <c r="M26" s="33">
        <v>1416.0000000000005</v>
      </c>
      <c r="N26" s="33">
        <v>5.07</v>
      </c>
      <c r="O26" s="33">
        <v>1410.9300000000005</v>
      </c>
      <c r="P26" s="56"/>
    </row>
    <row r="27" spans="2:16" s="44" customFormat="1" ht="13.5" customHeight="1" x14ac:dyDescent="0.25">
      <c r="B27" s="7" t="s">
        <v>31</v>
      </c>
      <c r="C27" s="33">
        <v>2643.4620000000004</v>
      </c>
      <c r="D27" s="33"/>
      <c r="E27" s="33">
        <v>470.11500000000007</v>
      </c>
      <c r="F27" s="33">
        <v>470.11500000000007</v>
      </c>
      <c r="G27" s="39">
        <v>0</v>
      </c>
      <c r="H27" s="35"/>
      <c r="I27" s="33">
        <v>911.51700000000017</v>
      </c>
      <c r="J27" s="33">
        <v>79.974000000000004</v>
      </c>
      <c r="K27" s="33">
        <v>831.54300000000012</v>
      </c>
      <c r="L27" s="35"/>
      <c r="M27" s="33">
        <v>1261.83</v>
      </c>
      <c r="N27" s="33">
        <v>98.219999999999985</v>
      </c>
      <c r="O27" s="33">
        <v>1163.6099999999999</v>
      </c>
      <c r="P27" s="56"/>
    </row>
    <row r="28" spans="2:16" s="44" customFormat="1" ht="13.5" customHeight="1" x14ac:dyDescent="0.25">
      <c r="B28" s="7" t="s">
        <v>32</v>
      </c>
      <c r="C28" s="33">
        <v>3314.9180000000006</v>
      </c>
      <c r="D28" s="33"/>
      <c r="E28" s="33">
        <v>585.77300000000014</v>
      </c>
      <c r="F28" s="33">
        <v>273.11900000000003</v>
      </c>
      <c r="G28" s="39">
        <v>312.65400000000005</v>
      </c>
      <c r="H28" s="35"/>
      <c r="I28" s="33">
        <v>607.577</v>
      </c>
      <c r="J28" s="33">
        <v>34.435000000000002</v>
      </c>
      <c r="K28" s="33">
        <v>573.14199999999994</v>
      </c>
      <c r="L28" s="35"/>
      <c r="M28" s="33">
        <v>2121.5680000000002</v>
      </c>
      <c r="N28" s="33">
        <v>0</v>
      </c>
      <c r="O28" s="33">
        <v>2121.5680000000002</v>
      </c>
      <c r="P28" s="56"/>
    </row>
    <row r="29" spans="2:16" s="44" customFormat="1" ht="13.5" customHeight="1" x14ac:dyDescent="0.25">
      <c r="B29" s="7" t="s">
        <v>34</v>
      </c>
      <c r="C29" s="33">
        <v>8489.2969999999968</v>
      </c>
      <c r="D29" s="33"/>
      <c r="E29" s="33">
        <v>1415.6279999999999</v>
      </c>
      <c r="F29" s="33">
        <v>977.78699999999992</v>
      </c>
      <c r="G29" s="39">
        <v>437.84099999999995</v>
      </c>
      <c r="H29" s="35"/>
      <c r="I29" s="33">
        <v>844.30500000000006</v>
      </c>
      <c r="J29" s="33">
        <v>245.37799999999999</v>
      </c>
      <c r="K29" s="33">
        <v>598.92700000000002</v>
      </c>
      <c r="L29" s="35"/>
      <c r="M29" s="33">
        <v>6229.3639999999968</v>
      </c>
      <c r="N29" s="33">
        <v>185.54</v>
      </c>
      <c r="O29" s="33">
        <v>6043.8239999999969</v>
      </c>
      <c r="P29" s="56"/>
    </row>
    <row r="30" spans="2:16" s="44" customFormat="1" ht="13.5" customHeight="1" x14ac:dyDescent="0.25">
      <c r="B30" s="7" t="s">
        <v>35</v>
      </c>
      <c r="C30" s="33">
        <v>11304.001999999997</v>
      </c>
      <c r="D30" s="33"/>
      <c r="E30" s="33">
        <v>2016.6799999999996</v>
      </c>
      <c r="F30" s="33">
        <v>1395.6419999999996</v>
      </c>
      <c r="G30" s="39">
        <v>621.03800000000001</v>
      </c>
      <c r="H30" s="35"/>
      <c r="I30" s="33">
        <v>1772.6600000000005</v>
      </c>
      <c r="J30" s="33">
        <v>319.47000000000003</v>
      </c>
      <c r="K30" s="33">
        <v>1453.1900000000005</v>
      </c>
      <c r="L30" s="35"/>
      <c r="M30" s="33">
        <v>7514.6619999999975</v>
      </c>
      <c r="N30" s="33">
        <v>70.02</v>
      </c>
      <c r="O30" s="33">
        <v>7444.6419999999971</v>
      </c>
      <c r="P30" s="56"/>
    </row>
    <row r="31" spans="2:16" s="44" customFormat="1" ht="13.5" customHeight="1" x14ac:dyDescent="0.25">
      <c r="B31" s="7" t="s">
        <v>36</v>
      </c>
      <c r="C31" s="39">
        <v>5151.4810000000016</v>
      </c>
      <c r="D31" s="39"/>
      <c r="E31" s="39">
        <v>865.50800000000015</v>
      </c>
      <c r="F31" s="33">
        <v>654.02000000000021</v>
      </c>
      <c r="G31" s="39">
        <v>211.48799999999997</v>
      </c>
      <c r="H31" s="35"/>
      <c r="I31" s="39">
        <v>904.43300000000011</v>
      </c>
      <c r="J31" s="33">
        <v>148.22699999999998</v>
      </c>
      <c r="K31" s="33">
        <v>756.20600000000013</v>
      </c>
      <c r="L31" s="35"/>
      <c r="M31" s="39">
        <v>3381.5400000000009</v>
      </c>
      <c r="N31" s="33">
        <v>0.09</v>
      </c>
      <c r="O31" s="33">
        <v>3381.4500000000007</v>
      </c>
      <c r="P31" s="56"/>
    </row>
    <row r="32" spans="2:16" s="44" customFormat="1" ht="13.5" customHeight="1" x14ac:dyDescent="0.25">
      <c r="B32" s="7" t="s">
        <v>37</v>
      </c>
      <c r="C32" s="39">
        <v>2520.4930000000004</v>
      </c>
      <c r="D32" s="39"/>
      <c r="E32" s="39">
        <v>636.95500000000015</v>
      </c>
      <c r="F32" s="33">
        <v>470.9310000000001</v>
      </c>
      <c r="G32" s="39">
        <v>166.024</v>
      </c>
      <c r="H32" s="35"/>
      <c r="I32" s="39">
        <v>502.86799999999999</v>
      </c>
      <c r="J32" s="33">
        <v>85.003</v>
      </c>
      <c r="K32" s="33">
        <v>417.86500000000001</v>
      </c>
      <c r="L32" s="35"/>
      <c r="M32" s="39">
        <v>1380.6700000000003</v>
      </c>
      <c r="N32" s="33">
        <v>151.54999999999995</v>
      </c>
      <c r="O32" s="33">
        <v>1229.1200000000003</v>
      </c>
      <c r="P32" s="56"/>
    </row>
    <row r="33" spans="2:16" s="44" customFormat="1" ht="13.5" customHeight="1" x14ac:dyDescent="0.25">
      <c r="B33" s="7" t="s">
        <v>38</v>
      </c>
      <c r="C33" s="39">
        <v>946.55700000000013</v>
      </c>
      <c r="D33" s="39"/>
      <c r="E33" s="39">
        <v>138.14599999999999</v>
      </c>
      <c r="F33" s="33">
        <v>138.14599999999999</v>
      </c>
      <c r="G33" s="39">
        <v>0</v>
      </c>
      <c r="H33" s="35"/>
      <c r="I33" s="39">
        <v>285.27100000000002</v>
      </c>
      <c r="J33" s="33">
        <v>69.509</v>
      </c>
      <c r="K33" s="33">
        <v>215.762</v>
      </c>
      <c r="L33" s="35"/>
      <c r="M33" s="39">
        <v>523.1400000000001</v>
      </c>
      <c r="N33" s="33">
        <v>9.33</v>
      </c>
      <c r="O33" s="33">
        <v>513.81000000000006</v>
      </c>
      <c r="P33" s="56"/>
    </row>
    <row r="34" spans="2:16" s="44" customFormat="1" ht="13.5" customHeight="1" thickBot="1" x14ac:dyDescent="0.3">
      <c r="B34" s="13" t="s">
        <v>39</v>
      </c>
      <c r="C34" s="42">
        <v>1911.8209999999997</v>
      </c>
      <c r="D34" s="42"/>
      <c r="E34" s="42">
        <v>314.43200000000007</v>
      </c>
      <c r="F34" s="42">
        <v>221.09500000000006</v>
      </c>
      <c r="G34" s="42">
        <v>93.337000000000003</v>
      </c>
      <c r="H34" s="42"/>
      <c r="I34" s="42">
        <v>225.25900000000001</v>
      </c>
      <c r="J34" s="42">
        <v>0</v>
      </c>
      <c r="K34" s="42">
        <v>225.25900000000001</v>
      </c>
      <c r="L34" s="42"/>
      <c r="M34" s="42">
        <v>1372.1299999999997</v>
      </c>
      <c r="N34" s="42">
        <v>10.339999999999998</v>
      </c>
      <c r="O34" s="42">
        <v>1361.7899999999997</v>
      </c>
      <c r="P34" s="56"/>
    </row>
    <row r="35" spans="2:16" ht="15" customHeight="1" x14ac:dyDescent="0.3">
      <c r="B35" s="162" t="s">
        <v>60</v>
      </c>
      <c r="C35" s="162"/>
      <c r="D35" s="162"/>
      <c r="E35" s="162"/>
      <c r="F35" s="162"/>
      <c r="G35" s="162"/>
      <c r="H35" s="162"/>
      <c r="I35" s="162"/>
      <c r="J35" s="162"/>
      <c r="K35" s="162"/>
      <c r="L35" s="162"/>
      <c r="M35" s="162"/>
      <c r="N35" s="162"/>
      <c r="O35" s="59"/>
    </row>
    <row r="36" spans="2:16" ht="15" customHeight="1" x14ac:dyDescent="0.3">
      <c r="B36" s="58" t="s">
        <v>55</v>
      </c>
      <c r="C36" s="44"/>
      <c r="D36" s="44"/>
      <c r="E36" s="44"/>
      <c r="F36" s="44"/>
      <c r="G36" s="44"/>
      <c r="H36" s="44"/>
      <c r="I36" s="44"/>
      <c r="J36" s="44"/>
      <c r="K36" s="44"/>
      <c r="L36" s="44"/>
      <c r="M36" s="44"/>
      <c r="N36" s="44"/>
    </row>
    <row r="37" spans="2:16" ht="11.25" customHeight="1" x14ac:dyDescent="0.3">
      <c r="B37" s="15" t="s">
        <v>61</v>
      </c>
      <c r="C37" s="44"/>
      <c r="D37" s="44"/>
      <c r="E37" s="44"/>
      <c r="F37" s="44"/>
      <c r="G37" s="44"/>
      <c r="H37" s="44"/>
      <c r="I37" s="44"/>
      <c r="J37" s="44"/>
      <c r="K37" s="44"/>
      <c r="L37" s="44"/>
      <c r="M37" s="44"/>
      <c r="N37" s="44"/>
    </row>
    <row r="38" spans="2:16" x14ac:dyDescent="0.3">
      <c r="B38" s="16" t="s">
        <v>43</v>
      </c>
      <c r="C38" s="44"/>
      <c r="D38" s="44"/>
      <c r="E38" s="44"/>
      <c r="F38" s="44"/>
      <c r="G38" s="44"/>
      <c r="H38" s="44"/>
      <c r="I38" s="44"/>
      <c r="J38" s="44"/>
      <c r="K38" s="44"/>
      <c r="L38" s="44"/>
      <c r="M38" s="44"/>
      <c r="N38" s="44"/>
    </row>
    <row r="39" spans="2:16" x14ac:dyDescent="0.3">
      <c r="B39" s="44"/>
      <c r="C39" s="44"/>
      <c r="D39" s="44"/>
      <c r="E39" s="44"/>
      <c r="F39" s="44"/>
      <c r="G39" s="44"/>
      <c r="H39" s="44"/>
      <c r="I39" s="44"/>
      <c r="J39" s="44"/>
      <c r="K39" s="44"/>
      <c r="L39" s="44"/>
      <c r="M39" s="44"/>
      <c r="N39" s="44"/>
    </row>
    <row r="40" spans="2:16" ht="16.5" customHeight="1" x14ac:dyDescent="0.3">
      <c r="B40" s="159" t="s">
        <v>136</v>
      </c>
      <c r="C40" s="159"/>
      <c r="D40" s="159"/>
      <c r="E40" s="159"/>
      <c r="F40" s="159"/>
      <c r="G40" s="159"/>
      <c r="H40" s="159"/>
      <c r="I40" s="159"/>
      <c r="J40" s="159"/>
      <c r="K40" s="159"/>
      <c r="L40" s="159"/>
      <c r="M40" s="159"/>
      <c r="N40" s="159"/>
      <c r="O40" s="159"/>
    </row>
    <row r="41" spans="2:16" ht="16.5" customHeight="1" x14ac:dyDescent="0.3">
      <c r="B41" s="160" t="s">
        <v>62</v>
      </c>
      <c r="C41" s="160"/>
      <c r="D41" s="160"/>
      <c r="E41" s="160"/>
      <c r="F41" s="160"/>
      <c r="G41" s="160"/>
      <c r="H41" s="160"/>
      <c r="I41" s="160"/>
      <c r="J41" s="160"/>
      <c r="K41" s="160"/>
      <c r="L41" s="160"/>
      <c r="M41" s="160"/>
      <c r="N41" s="160"/>
      <c r="O41" s="160"/>
    </row>
    <row r="43" spans="2:16" ht="17.25" customHeight="1" thickBot="1" x14ac:dyDescent="0.35">
      <c r="C43" s="59"/>
      <c r="D43" s="59"/>
      <c r="E43" s="59"/>
      <c r="F43" s="59"/>
      <c r="G43" s="59"/>
      <c r="H43" s="59" t="s">
        <v>2</v>
      </c>
      <c r="I43" s="59"/>
      <c r="J43" s="59"/>
      <c r="K43" s="59"/>
      <c r="L43" s="59"/>
      <c r="M43" s="59"/>
      <c r="N43" s="59"/>
    </row>
    <row r="44" spans="2:16" ht="21.75" customHeight="1" x14ac:dyDescent="0.3">
      <c r="B44" s="147" t="s">
        <v>3</v>
      </c>
      <c r="C44" s="163" t="s">
        <v>4</v>
      </c>
      <c r="D44" s="60"/>
      <c r="E44" s="193" t="s">
        <v>5</v>
      </c>
      <c r="F44" s="193"/>
      <c r="G44" s="193"/>
      <c r="H44" s="61"/>
      <c r="I44" s="193" t="s">
        <v>6</v>
      </c>
      <c r="J44" s="193"/>
      <c r="K44" s="193"/>
      <c r="L44" s="61"/>
      <c r="M44" s="193" t="s">
        <v>52</v>
      </c>
      <c r="N44" s="193"/>
      <c r="O44" s="151"/>
    </row>
    <row r="45" spans="2:16" ht="30"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2:16" ht="20.25" customHeight="1" x14ac:dyDescent="0.3">
      <c r="B46" s="55" t="s">
        <v>13</v>
      </c>
      <c r="C46" s="30">
        <v>165466.59795400666</v>
      </c>
      <c r="D46" s="30"/>
      <c r="E46" s="30">
        <v>25788.921599900004</v>
      </c>
      <c r="F46" s="30">
        <v>17411.48369995</v>
      </c>
      <c r="G46" s="30">
        <v>8377.4378999499986</v>
      </c>
      <c r="H46" s="30"/>
      <c r="I46" s="30">
        <v>25012.318354535833</v>
      </c>
      <c r="J46" s="30">
        <v>2429.8348530784883</v>
      </c>
      <c r="K46" s="30">
        <v>22582.483501457355</v>
      </c>
      <c r="L46" s="30"/>
      <c r="M46" s="30">
        <v>114665.35799957084</v>
      </c>
      <c r="N46" s="30">
        <v>1924.5889999523095</v>
      </c>
      <c r="O46" s="64">
        <v>112740.76899961849</v>
      </c>
    </row>
    <row r="47" spans="2:16" s="68" customFormat="1" ht="13.5" customHeight="1" x14ac:dyDescent="0.25">
      <c r="B47" s="11" t="s">
        <v>14</v>
      </c>
      <c r="C47" s="65">
        <v>3321.7979999999993</v>
      </c>
      <c r="D47" s="65"/>
      <c r="E47" s="65">
        <v>851.06700000000001</v>
      </c>
      <c r="F47" s="65">
        <v>645.077</v>
      </c>
      <c r="G47" s="65">
        <v>205.99000000000004</v>
      </c>
      <c r="H47" s="65"/>
      <c r="I47" s="65">
        <v>726.84100000000001</v>
      </c>
      <c r="J47" s="33">
        <v>31.281000000000002</v>
      </c>
      <c r="K47" s="33">
        <v>695.56000000000006</v>
      </c>
      <c r="L47" s="35"/>
      <c r="M47" s="33">
        <v>1743.8899999999994</v>
      </c>
      <c r="N47" s="33">
        <v>0</v>
      </c>
      <c r="O47" s="33">
        <v>1743.8899999999994</v>
      </c>
      <c r="P47" s="66"/>
    </row>
    <row r="48" spans="2:16" s="68" customFormat="1" ht="13.5" customHeight="1" x14ac:dyDescent="0.25">
      <c r="B48" s="7" t="s">
        <v>15</v>
      </c>
      <c r="C48" s="65">
        <v>10825.358899909994</v>
      </c>
      <c r="D48" s="65"/>
      <c r="E48" s="65">
        <v>1659.6588999099995</v>
      </c>
      <c r="F48" s="65">
        <v>974.76099995999971</v>
      </c>
      <c r="G48" s="65">
        <v>684.89789994999967</v>
      </c>
      <c r="H48" s="65"/>
      <c r="I48" s="65">
        <v>1448.69</v>
      </c>
      <c r="J48" s="33">
        <v>206.1</v>
      </c>
      <c r="K48" s="33">
        <v>1242.5900000000001</v>
      </c>
      <c r="L48" s="35"/>
      <c r="M48" s="33">
        <v>7717.0099999999948</v>
      </c>
      <c r="N48" s="33">
        <v>115.68</v>
      </c>
      <c r="O48" s="33">
        <v>7601.3299999999945</v>
      </c>
      <c r="P48" s="66"/>
    </row>
    <row r="49" spans="2:16" s="68" customFormat="1" ht="13.5" customHeight="1" x14ac:dyDescent="0.25">
      <c r="B49" s="7" t="s">
        <v>16</v>
      </c>
      <c r="C49" s="65">
        <v>7480.3054030673838</v>
      </c>
      <c r="D49" s="65"/>
      <c r="E49" s="65">
        <v>1157.0911000000001</v>
      </c>
      <c r="F49" s="65">
        <v>680.21699999999998</v>
      </c>
      <c r="G49" s="65">
        <v>476.8741</v>
      </c>
      <c r="H49" s="65"/>
      <c r="I49" s="65">
        <v>1338.984303067384</v>
      </c>
      <c r="J49" s="33">
        <v>0</v>
      </c>
      <c r="K49" s="33">
        <v>1338.984303067384</v>
      </c>
      <c r="L49" s="35"/>
      <c r="M49" s="33">
        <v>4984.2299999999996</v>
      </c>
      <c r="N49" s="33">
        <v>7.27</v>
      </c>
      <c r="O49" s="33">
        <v>4976.9599999999991</v>
      </c>
      <c r="P49" s="66"/>
    </row>
    <row r="50" spans="2:16" s="68" customFormat="1" ht="13.5" customHeight="1" x14ac:dyDescent="0.25">
      <c r="B50" s="7" t="s">
        <v>17</v>
      </c>
      <c r="C50" s="65">
        <v>9175.073545354946</v>
      </c>
      <c r="D50" s="65"/>
      <c r="E50" s="65">
        <v>1433.5137999999993</v>
      </c>
      <c r="F50" s="65">
        <v>1080.0487999999993</v>
      </c>
      <c r="G50" s="65">
        <v>353.46500000000003</v>
      </c>
      <c r="H50" s="65"/>
      <c r="I50" s="65">
        <v>1739.1197454217081</v>
      </c>
      <c r="J50" s="33">
        <v>530.997979046208</v>
      </c>
      <c r="K50" s="33">
        <v>1208.1217663755001</v>
      </c>
      <c r="L50" s="35"/>
      <c r="M50" s="33">
        <v>6002.4399999332391</v>
      </c>
      <c r="N50" s="33">
        <v>393.76999993323994</v>
      </c>
      <c r="O50" s="33">
        <v>5608.6699999999992</v>
      </c>
      <c r="P50" s="66"/>
    </row>
    <row r="51" spans="2:16" s="68" customFormat="1" ht="13.5" customHeight="1" x14ac:dyDescent="0.25">
      <c r="B51" s="7" t="s">
        <v>18</v>
      </c>
      <c r="C51" s="65">
        <v>12352.837149000221</v>
      </c>
      <c r="D51" s="65"/>
      <c r="E51" s="65">
        <v>1722.6029999999996</v>
      </c>
      <c r="F51" s="65">
        <v>1261.5409999999997</v>
      </c>
      <c r="G51" s="65">
        <v>461.06200000000001</v>
      </c>
      <c r="H51" s="65"/>
      <c r="I51" s="65">
        <v>1903.6441490002333</v>
      </c>
      <c r="J51" s="33">
        <v>8.6474242806430013</v>
      </c>
      <c r="K51" s="33">
        <v>1894.9967247195902</v>
      </c>
      <c r="L51" s="35"/>
      <c r="M51" s="33">
        <v>8726.5899999999874</v>
      </c>
      <c r="N51" s="33">
        <v>23.880000000000003</v>
      </c>
      <c r="O51" s="33">
        <v>8702.7099999999882</v>
      </c>
      <c r="P51" s="66"/>
    </row>
    <row r="52" spans="2:16" s="68" customFormat="1" ht="13.5" customHeight="1" x14ac:dyDescent="0.25">
      <c r="B52" s="7" t="s">
        <v>19</v>
      </c>
      <c r="C52" s="65">
        <v>14707.003966264576</v>
      </c>
      <c r="D52" s="65"/>
      <c r="E52" s="65">
        <v>1742.6187999999997</v>
      </c>
      <c r="F52" s="65">
        <v>1225.4617999999996</v>
      </c>
      <c r="G52" s="65">
        <v>517.15700000000004</v>
      </c>
      <c r="H52" s="65"/>
      <c r="I52" s="65">
        <v>855.68516626456017</v>
      </c>
      <c r="J52" s="33">
        <v>31.779000404580003</v>
      </c>
      <c r="K52" s="33">
        <v>823.90616585998021</v>
      </c>
      <c r="L52" s="35"/>
      <c r="M52" s="33">
        <v>12108.700000000017</v>
      </c>
      <c r="N52" s="33">
        <v>41.009999999999984</v>
      </c>
      <c r="O52" s="33">
        <v>12067.690000000017</v>
      </c>
      <c r="P52" s="66"/>
    </row>
    <row r="53" spans="2:16" s="68" customFormat="1" ht="13.5" customHeight="1" x14ac:dyDescent="0.25">
      <c r="B53" s="7" t="s">
        <v>20</v>
      </c>
      <c r="C53" s="65">
        <v>37.786999999999999</v>
      </c>
      <c r="D53" s="65"/>
      <c r="E53" s="65">
        <v>37.786999999999999</v>
      </c>
      <c r="F53" s="65">
        <v>37.786999999999999</v>
      </c>
      <c r="G53" s="65">
        <v>0</v>
      </c>
      <c r="H53" s="65"/>
      <c r="I53" s="65">
        <v>0</v>
      </c>
      <c r="J53" s="33">
        <v>0</v>
      </c>
      <c r="K53" s="33">
        <v>0</v>
      </c>
      <c r="L53" s="35"/>
      <c r="M53" s="33">
        <v>0</v>
      </c>
      <c r="N53" s="33">
        <v>0</v>
      </c>
      <c r="O53" s="33">
        <v>0</v>
      </c>
      <c r="P53" s="66"/>
    </row>
    <row r="54" spans="2:16" s="68" customFormat="1" ht="13.5" customHeight="1" x14ac:dyDescent="0.25">
      <c r="B54" s="7" t="s">
        <v>21</v>
      </c>
      <c r="C54" s="65">
        <v>15553.663156503495</v>
      </c>
      <c r="D54" s="65"/>
      <c r="E54" s="65">
        <v>1817.8589999999999</v>
      </c>
      <c r="F54" s="65">
        <v>1189.768</v>
      </c>
      <c r="G54" s="65">
        <v>628.09099999999989</v>
      </c>
      <c r="H54" s="65"/>
      <c r="I54" s="65">
        <v>2786.8641565034804</v>
      </c>
      <c r="J54" s="33">
        <v>93.441999588009992</v>
      </c>
      <c r="K54" s="33">
        <v>2693.4221569154706</v>
      </c>
      <c r="L54" s="35"/>
      <c r="M54" s="33">
        <v>10948.940000000015</v>
      </c>
      <c r="N54" s="33">
        <v>120.48999999999998</v>
      </c>
      <c r="O54" s="33">
        <v>10828.450000000015</v>
      </c>
      <c r="P54" s="66"/>
    </row>
    <row r="55" spans="2:16" s="68" customFormat="1" ht="13.5" customHeight="1" x14ac:dyDescent="0.25">
      <c r="B55" s="7" t="s">
        <v>22</v>
      </c>
      <c r="C55" s="65">
        <v>8111.3305997177113</v>
      </c>
      <c r="D55" s="65"/>
      <c r="E55" s="65">
        <v>1410.2446000000002</v>
      </c>
      <c r="F55" s="65">
        <v>818.19160000000011</v>
      </c>
      <c r="G55" s="65">
        <v>592.05300000000011</v>
      </c>
      <c r="H55" s="65"/>
      <c r="I55" s="65">
        <v>1440.9359997177103</v>
      </c>
      <c r="J55" s="33">
        <v>0</v>
      </c>
      <c r="K55" s="33">
        <v>1440.9359997177103</v>
      </c>
      <c r="L55" s="35"/>
      <c r="M55" s="33">
        <v>5260.1500000000005</v>
      </c>
      <c r="N55" s="33">
        <v>0.66</v>
      </c>
      <c r="O55" s="33">
        <v>5259.4900000000007</v>
      </c>
      <c r="P55" s="66"/>
    </row>
    <row r="56" spans="2:16" s="68" customFormat="1" ht="13.5" customHeight="1" x14ac:dyDescent="0.25">
      <c r="B56" s="7" t="s">
        <v>23</v>
      </c>
      <c r="C56" s="65">
        <v>7544.6825331433083</v>
      </c>
      <c r="D56" s="65"/>
      <c r="E56" s="65">
        <v>1213.18989999</v>
      </c>
      <c r="F56" s="65">
        <v>552.12189998999997</v>
      </c>
      <c r="G56" s="65">
        <v>661.06799999999998</v>
      </c>
      <c r="H56" s="65"/>
      <c r="I56" s="65">
        <v>721.03263315331003</v>
      </c>
      <c r="J56" s="33">
        <v>15.984176000000001</v>
      </c>
      <c r="K56" s="33">
        <v>705.04845715330998</v>
      </c>
      <c r="L56" s="35"/>
      <c r="M56" s="33">
        <v>5610.4599999999982</v>
      </c>
      <c r="N56" s="33">
        <v>4.2</v>
      </c>
      <c r="O56" s="33">
        <v>5606.2599999999984</v>
      </c>
      <c r="P56" s="66"/>
    </row>
    <row r="57" spans="2:16" s="68" customFormat="1" ht="13.5" customHeight="1" x14ac:dyDescent="0.25">
      <c r="B57" s="7" t="s">
        <v>24</v>
      </c>
      <c r="C57" s="65">
        <v>3449.6596992221002</v>
      </c>
      <c r="D57" s="65"/>
      <c r="E57" s="65">
        <v>656.66599999999971</v>
      </c>
      <c r="F57" s="65">
        <v>587.99999999999977</v>
      </c>
      <c r="G57" s="65">
        <v>68.665999999999997</v>
      </c>
      <c r="H57" s="65"/>
      <c r="I57" s="65">
        <v>743.91369922210004</v>
      </c>
      <c r="J57" s="33">
        <v>48.940999999999995</v>
      </c>
      <c r="K57" s="33">
        <v>694.9726992221</v>
      </c>
      <c r="L57" s="35"/>
      <c r="M57" s="33">
        <v>2049.0800000000004</v>
      </c>
      <c r="N57" s="33">
        <v>82.019999999999982</v>
      </c>
      <c r="O57" s="33">
        <v>1967.0600000000004</v>
      </c>
      <c r="P57" s="66"/>
    </row>
    <row r="58" spans="2:16" s="68" customFormat="1" ht="13.5" customHeight="1" x14ac:dyDescent="0.25">
      <c r="B58" s="7" t="s">
        <v>25</v>
      </c>
      <c r="C58" s="65">
        <v>11928.344456018009</v>
      </c>
      <c r="D58" s="65"/>
      <c r="E58" s="65">
        <v>1536.8899999999999</v>
      </c>
      <c r="F58" s="65">
        <v>934.31499999999971</v>
      </c>
      <c r="G58" s="65">
        <v>602.57500000000005</v>
      </c>
      <c r="H58" s="65"/>
      <c r="I58" s="65">
        <v>852.47445601800018</v>
      </c>
      <c r="J58" s="33">
        <v>14.579999999999998</v>
      </c>
      <c r="K58" s="33">
        <v>837.89445601800014</v>
      </c>
      <c r="L58" s="35"/>
      <c r="M58" s="33">
        <v>9538.9800000000087</v>
      </c>
      <c r="N58" s="33">
        <v>224.20999999999995</v>
      </c>
      <c r="O58" s="33">
        <v>9314.7700000000095</v>
      </c>
      <c r="P58" s="66"/>
    </row>
    <row r="59" spans="2:16" s="68" customFormat="1" ht="13.5" customHeight="1" x14ac:dyDescent="0.25">
      <c r="B59" s="7" t="s">
        <v>26</v>
      </c>
      <c r="C59" s="65">
        <v>8691.3518319657906</v>
      </c>
      <c r="D59" s="65"/>
      <c r="E59" s="65">
        <v>1238.2309999999998</v>
      </c>
      <c r="F59" s="65">
        <v>623.58000000000004</v>
      </c>
      <c r="G59" s="65">
        <v>614.65099999999984</v>
      </c>
      <c r="H59" s="65"/>
      <c r="I59" s="65">
        <v>1765.9318323472901</v>
      </c>
      <c r="J59" s="33">
        <v>92.015232999999995</v>
      </c>
      <c r="K59" s="33">
        <v>1673.91659934729</v>
      </c>
      <c r="L59" s="35"/>
      <c r="M59" s="33">
        <v>5687.1889996185009</v>
      </c>
      <c r="N59" s="33">
        <v>155.51000000000005</v>
      </c>
      <c r="O59" s="33">
        <v>5531.6789996185007</v>
      </c>
      <c r="P59" s="66"/>
    </row>
    <row r="60" spans="2:16" s="68" customFormat="1" ht="13.5" customHeight="1" x14ac:dyDescent="0.25">
      <c r="B60" s="7" t="s">
        <v>27</v>
      </c>
      <c r="C60" s="65">
        <v>3190.2710002139602</v>
      </c>
      <c r="D60" s="65"/>
      <c r="E60" s="65">
        <v>469.024</v>
      </c>
      <c r="F60" s="65">
        <v>446.83699999999999</v>
      </c>
      <c r="G60" s="65">
        <v>22.187000000000001</v>
      </c>
      <c r="H60" s="65"/>
      <c r="I60" s="65">
        <v>642.53700021396014</v>
      </c>
      <c r="J60" s="33">
        <v>213.75100000000006</v>
      </c>
      <c r="K60" s="33">
        <v>428.78600021396005</v>
      </c>
      <c r="L60" s="35"/>
      <c r="M60" s="33">
        <v>2078.71</v>
      </c>
      <c r="N60" s="33">
        <v>27.549999999999997</v>
      </c>
      <c r="O60" s="33">
        <v>2051.16</v>
      </c>
      <c r="P60" s="66"/>
    </row>
    <row r="61" spans="2:16" s="68" customFormat="1" ht="13.5" customHeight="1" x14ac:dyDescent="0.25">
      <c r="B61" s="7" t="s">
        <v>28</v>
      </c>
      <c r="C61" s="65">
        <v>7548.262999999999</v>
      </c>
      <c r="D61" s="65"/>
      <c r="E61" s="65">
        <v>1713.453</v>
      </c>
      <c r="F61" s="65">
        <v>1142.299</v>
      </c>
      <c r="G61" s="65">
        <v>571.154</v>
      </c>
      <c r="H61" s="65"/>
      <c r="I61" s="65">
        <v>1571.12</v>
      </c>
      <c r="J61" s="33">
        <v>123.14999999999999</v>
      </c>
      <c r="K61" s="33">
        <v>1447.9699999999998</v>
      </c>
      <c r="L61" s="35"/>
      <c r="M61" s="33">
        <v>4263.6899999999996</v>
      </c>
      <c r="N61" s="33">
        <v>173.91</v>
      </c>
      <c r="O61" s="33">
        <v>4089.7799999999993</v>
      </c>
      <c r="P61" s="66"/>
    </row>
    <row r="62" spans="2:16" s="68" customFormat="1" ht="13.5" customHeight="1" x14ac:dyDescent="0.25">
      <c r="B62" s="7" t="s">
        <v>29</v>
      </c>
      <c r="C62" s="65">
        <v>961.44400000000007</v>
      </c>
      <c r="D62" s="65"/>
      <c r="E62" s="65">
        <v>87.884000000000015</v>
      </c>
      <c r="F62" s="65">
        <v>43.085000000000008</v>
      </c>
      <c r="G62" s="65">
        <v>44.798999999999999</v>
      </c>
      <c r="H62" s="65"/>
      <c r="I62" s="65">
        <v>436.69</v>
      </c>
      <c r="J62" s="33">
        <v>108.56</v>
      </c>
      <c r="K62" s="33">
        <v>328.13</v>
      </c>
      <c r="L62" s="35"/>
      <c r="M62" s="33">
        <v>436.87</v>
      </c>
      <c r="N62" s="33">
        <v>19.079999999999998</v>
      </c>
      <c r="O62" s="33">
        <v>417.79</v>
      </c>
      <c r="P62" s="66"/>
    </row>
    <row r="63" spans="2:16" s="68" customFormat="1" ht="13.5" customHeight="1" x14ac:dyDescent="0.25">
      <c r="B63" s="7" t="s">
        <v>30</v>
      </c>
      <c r="C63" s="65">
        <v>1994.9060000000004</v>
      </c>
      <c r="D63" s="65"/>
      <c r="E63" s="65">
        <v>399.2759999999999</v>
      </c>
      <c r="F63" s="65">
        <v>399.2759999999999</v>
      </c>
      <c r="G63" s="65">
        <v>0</v>
      </c>
      <c r="H63" s="65"/>
      <c r="I63" s="65">
        <v>179.63</v>
      </c>
      <c r="J63" s="33">
        <v>2.4900000000000002</v>
      </c>
      <c r="K63" s="33">
        <v>177.14</v>
      </c>
      <c r="L63" s="35"/>
      <c r="M63" s="33">
        <v>1416.0000000000005</v>
      </c>
      <c r="N63" s="33">
        <v>5.07</v>
      </c>
      <c r="O63" s="33">
        <v>1410.9300000000005</v>
      </c>
      <c r="P63" s="66"/>
    </row>
    <row r="64" spans="2:16" s="68" customFormat="1" ht="13.5" customHeight="1" x14ac:dyDescent="0.25">
      <c r="B64" s="7" t="s">
        <v>31</v>
      </c>
      <c r="C64" s="65">
        <v>2640.7660964138113</v>
      </c>
      <c r="D64" s="65"/>
      <c r="E64" s="65">
        <v>469.99400000000009</v>
      </c>
      <c r="F64" s="65">
        <v>469.99400000000009</v>
      </c>
      <c r="G64" s="65">
        <v>0</v>
      </c>
      <c r="H64" s="65"/>
      <c r="I64" s="65">
        <v>908.93209641381122</v>
      </c>
      <c r="J64" s="33">
        <v>78.433623245210995</v>
      </c>
      <c r="K64" s="33">
        <v>830.49847316860019</v>
      </c>
      <c r="L64" s="35"/>
      <c r="M64" s="33">
        <v>1261.8399999999999</v>
      </c>
      <c r="N64" s="33">
        <v>98.219999999999985</v>
      </c>
      <c r="O64" s="33">
        <v>1163.6199999999999</v>
      </c>
      <c r="P64" s="66"/>
    </row>
    <row r="65" spans="2:16" s="68" customFormat="1" ht="13.5" customHeight="1" x14ac:dyDescent="0.25">
      <c r="B65" s="7" t="s">
        <v>32</v>
      </c>
      <c r="C65" s="65">
        <v>3309.1744915033501</v>
      </c>
      <c r="D65" s="65"/>
      <c r="E65" s="65">
        <v>586.55900000000008</v>
      </c>
      <c r="F65" s="65">
        <v>273.11900000000003</v>
      </c>
      <c r="G65" s="65">
        <v>313.44000000000005</v>
      </c>
      <c r="H65" s="65"/>
      <c r="I65" s="65">
        <v>607.57549150335012</v>
      </c>
      <c r="J65" s="33">
        <v>34.434956</v>
      </c>
      <c r="K65" s="33">
        <v>573.14053550335007</v>
      </c>
      <c r="L65" s="35"/>
      <c r="M65" s="33">
        <v>2115.04</v>
      </c>
      <c r="N65" s="33">
        <v>0</v>
      </c>
      <c r="O65" s="33">
        <v>2115.04</v>
      </c>
      <c r="P65" s="66"/>
    </row>
    <row r="66" spans="2:16" s="68" customFormat="1" ht="13.5" customHeight="1" x14ac:dyDescent="0.25">
      <c r="B66" s="7" t="s">
        <v>34</v>
      </c>
      <c r="C66" s="65">
        <v>8866.3460023398948</v>
      </c>
      <c r="D66" s="65"/>
      <c r="E66" s="65">
        <v>1610.02</v>
      </c>
      <c r="F66" s="65">
        <v>1103.402</v>
      </c>
      <c r="G66" s="65">
        <v>506.61800000000005</v>
      </c>
      <c r="H66" s="65"/>
      <c r="I66" s="65">
        <v>649.27600233989597</v>
      </c>
      <c r="J66" s="33">
        <v>171.089002082196</v>
      </c>
      <c r="K66" s="33">
        <v>478.18700025769999</v>
      </c>
      <c r="L66" s="35"/>
      <c r="M66" s="33">
        <v>6607.0499999999993</v>
      </c>
      <c r="N66" s="33">
        <v>170.89999999999992</v>
      </c>
      <c r="O66" s="33">
        <v>6436.15</v>
      </c>
      <c r="P66" s="66"/>
    </row>
    <row r="67" spans="2:16" s="68" customFormat="1" ht="13.5" customHeight="1" x14ac:dyDescent="0.25">
      <c r="B67" s="7" t="s">
        <v>35</v>
      </c>
      <c r="C67" s="65">
        <v>13182.337701163589</v>
      </c>
      <c r="D67" s="65"/>
      <c r="E67" s="65">
        <v>2016.9786999999994</v>
      </c>
      <c r="F67" s="65">
        <v>1395.9406999999994</v>
      </c>
      <c r="G67" s="65">
        <v>621.03800000000001</v>
      </c>
      <c r="H67" s="65"/>
      <c r="I67" s="65">
        <v>1772.6600011445203</v>
      </c>
      <c r="J67" s="33">
        <v>319.46999971389999</v>
      </c>
      <c r="K67" s="33">
        <v>1453.1900014306202</v>
      </c>
      <c r="L67" s="35"/>
      <c r="M67" s="33">
        <v>9392.6990000190708</v>
      </c>
      <c r="N67" s="33">
        <v>89.84900001906999</v>
      </c>
      <c r="O67" s="33">
        <v>9302.85</v>
      </c>
      <c r="P67" s="66"/>
    </row>
    <row r="68" spans="2:16" s="68" customFormat="1" ht="13.5" customHeight="1" x14ac:dyDescent="0.25">
      <c r="B68" s="7" t="s">
        <v>36</v>
      </c>
      <c r="C68" s="65">
        <v>5213.7229077625907</v>
      </c>
      <c r="D68" s="65"/>
      <c r="E68" s="65">
        <v>868.84990000000028</v>
      </c>
      <c r="F68" s="65">
        <v>696.55900000000031</v>
      </c>
      <c r="G68" s="65">
        <v>172.29089999999997</v>
      </c>
      <c r="H68" s="65"/>
      <c r="I68" s="65">
        <v>906.38300776259007</v>
      </c>
      <c r="J68" s="33">
        <v>150.17699816359999</v>
      </c>
      <c r="K68" s="33">
        <v>756.20600959899002</v>
      </c>
      <c r="L68" s="35"/>
      <c r="M68" s="39">
        <v>3438.49</v>
      </c>
      <c r="N68" s="33">
        <v>0.09</v>
      </c>
      <c r="O68" s="33">
        <v>3438.3999999999996</v>
      </c>
      <c r="P68" s="66"/>
    </row>
    <row r="69" spans="2:16" s="68" customFormat="1" ht="13.5" customHeight="1" x14ac:dyDescent="0.25">
      <c r="B69" s="7" t="s">
        <v>37</v>
      </c>
      <c r="C69" s="65">
        <v>2520.4222842583404</v>
      </c>
      <c r="D69" s="65"/>
      <c r="E69" s="65">
        <v>636.88490000000013</v>
      </c>
      <c r="F69" s="65">
        <v>470.86090000000013</v>
      </c>
      <c r="G69" s="65">
        <v>166.024</v>
      </c>
      <c r="H69" s="65"/>
      <c r="I69" s="65">
        <v>502.86738425834</v>
      </c>
      <c r="J69" s="33">
        <v>85.002461554139998</v>
      </c>
      <c r="K69" s="33">
        <v>417.86492270420001</v>
      </c>
      <c r="L69" s="35"/>
      <c r="M69" s="39">
        <v>1380.6700000000003</v>
      </c>
      <c r="N69" s="33">
        <v>151.54999999999995</v>
      </c>
      <c r="O69" s="33">
        <v>1229.1200000000003</v>
      </c>
      <c r="P69" s="66"/>
    </row>
    <row r="70" spans="2:16" s="68" customFormat="1" ht="13.5" customHeight="1" x14ac:dyDescent="0.25">
      <c r="B70" s="7" t="s">
        <v>38</v>
      </c>
      <c r="C70" s="65">
        <v>939.81723037432016</v>
      </c>
      <c r="D70" s="65"/>
      <c r="E70" s="65">
        <v>138.14599999999999</v>
      </c>
      <c r="F70" s="65">
        <v>138.14599999999999</v>
      </c>
      <c r="G70" s="65">
        <v>0</v>
      </c>
      <c r="H70" s="65"/>
      <c r="I70" s="65">
        <v>285.27123037432</v>
      </c>
      <c r="J70" s="33">
        <v>69.509</v>
      </c>
      <c r="K70" s="33">
        <v>215.76223037431998</v>
      </c>
      <c r="L70" s="35"/>
      <c r="M70" s="39">
        <v>516.4000000000002</v>
      </c>
      <c r="N70" s="33">
        <v>9.33</v>
      </c>
      <c r="O70" s="33">
        <v>507.07000000000016</v>
      </c>
      <c r="P70" s="66"/>
    </row>
    <row r="71" spans="2:16" s="68" customFormat="1" ht="13.5" customHeight="1" thickBot="1" x14ac:dyDescent="0.3">
      <c r="B71" s="13" t="s">
        <v>39</v>
      </c>
      <c r="C71" s="42">
        <v>1919.9309998092697</v>
      </c>
      <c r="D71" s="42"/>
      <c r="E71" s="42">
        <v>314.43200000000007</v>
      </c>
      <c r="F71" s="42">
        <v>221.09500000000006</v>
      </c>
      <c r="G71" s="42">
        <v>93.337000000000003</v>
      </c>
      <c r="H71" s="42"/>
      <c r="I71" s="42">
        <v>225.25899980926999</v>
      </c>
      <c r="J71" s="42">
        <v>0</v>
      </c>
      <c r="K71" s="42">
        <v>225.25899980926999</v>
      </c>
      <c r="L71" s="42"/>
      <c r="M71" s="42">
        <v>1380.2399999999996</v>
      </c>
      <c r="N71" s="42">
        <v>10.339999999999998</v>
      </c>
      <c r="O71" s="42">
        <v>1369.8999999999996</v>
      </c>
      <c r="P71" s="66"/>
    </row>
    <row r="72" spans="2:16" s="44" customFormat="1" ht="29.25" customHeight="1" x14ac:dyDescent="0.25">
      <c r="B72" s="162" t="s">
        <v>60</v>
      </c>
      <c r="C72" s="162"/>
      <c r="D72" s="162"/>
      <c r="E72" s="162"/>
      <c r="F72" s="162"/>
      <c r="G72" s="162"/>
      <c r="H72" s="162"/>
      <c r="I72" s="162"/>
      <c r="J72" s="162"/>
      <c r="K72" s="162"/>
      <c r="L72" s="162"/>
      <c r="M72" s="162"/>
      <c r="N72" s="162"/>
      <c r="O72" s="162"/>
    </row>
    <row r="73" spans="2:16" s="44" customFormat="1" ht="15" customHeight="1" x14ac:dyDescent="0.25">
      <c r="B73" s="58" t="s">
        <v>55</v>
      </c>
    </row>
    <row r="74" spans="2:16" s="44" customFormat="1" ht="15" customHeight="1" x14ac:dyDescent="0.25">
      <c r="B74" s="15" t="s">
        <v>63</v>
      </c>
      <c r="C74" s="12"/>
      <c r="D74" s="12"/>
      <c r="F74" s="12"/>
      <c r="G74" s="12"/>
      <c r="I74" s="12"/>
      <c r="J74" s="12"/>
      <c r="K74" s="12"/>
      <c r="M74" s="12"/>
      <c r="N74" s="12"/>
      <c r="O74" s="12"/>
    </row>
    <row r="75" spans="2:16" s="44" customFormat="1" ht="15" customHeight="1" x14ac:dyDescent="0.25">
      <c r="B75" s="16" t="s">
        <v>43</v>
      </c>
    </row>
    <row r="76" spans="2:16" ht="11.25" customHeight="1" x14ac:dyDescent="0.3"/>
  </sheetData>
  <mergeCells count="17">
    <mergeCell ref="B72:O72"/>
    <mergeCell ref="B44:B45"/>
    <mergeCell ref="C44:C45"/>
    <mergeCell ref="E44:G44"/>
    <mergeCell ref="I44:K44"/>
    <mergeCell ref="M44:O44"/>
    <mergeCell ref="B6:O6"/>
    <mergeCell ref="B3:O3"/>
    <mergeCell ref="B4:O4"/>
    <mergeCell ref="B41:O41"/>
    <mergeCell ref="B35:N35"/>
    <mergeCell ref="B40:O40"/>
    <mergeCell ref="B7:B8"/>
    <mergeCell ref="C7:C8"/>
    <mergeCell ref="E7:G7"/>
    <mergeCell ref="I7:K7"/>
    <mergeCell ref="M7:O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P75"/>
  <sheetViews>
    <sheetView topLeftCell="A24" zoomScale="60" zoomScaleNormal="60" workbookViewId="0">
      <selection activeCell="J75" sqref="J75"/>
    </sheetView>
  </sheetViews>
  <sheetFormatPr baseColWidth="10" defaultColWidth="11.42578125" defaultRowHeight="16.5" x14ac:dyDescent="0.3"/>
  <cols>
    <col min="1" max="1" width="5.28515625" style="1" customWidth="1"/>
    <col min="2" max="2" width="22.7109375" style="1" customWidth="1"/>
    <col min="3" max="3" width="15.5703125" style="1" customWidth="1"/>
    <col min="4" max="4" width="3.7109375" style="1" customWidth="1"/>
    <col min="5" max="5" width="11.42578125" style="1"/>
    <col min="6" max="6" width="15" style="1" customWidth="1"/>
    <col min="7" max="7" width="17.28515625" style="1" customWidth="1"/>
    <col min="8" max="8" width="2" style="1" customWidth="1"/>
    <col min="9" max="9" width="11.42578125" style="1"/>
    <col min="10" max="10" width="13" style="1" bestFit="1" customWidth="1"/>
    <col min="11" max="11" width="16.5703125" style="1" customWidth="1"/>
    <col min="12" max="12" width="5.28515625" style="1" customWidth="1"/>
    <col min="13" max="13" width="11.42578125" style="1"/>
    <col min="14" max="14" width="14.42578125" style="1" customWidth="1"/>
    <col min="15" max="15" width="16.42578125" style="1" customWidth="1"/>
    <col min="16" max="16" width="7.7109375" style="1" customWidth="1"/>
    <col min="17" max="16384" width="11.42578125" style="1"/>
  </cols>
  <sheetData>
    <row r="3" spans="2:16" ht="30.75" customHeight="1" x14ac:dyDescent="0.3">
      <c r="B3" s="145" t="s">
        <v>136</v>
      </c>
      <c r="C3" s="145"/>
      <c r="D3" s="145"/>
      <c r="E3" s="145"/>
      <c r="F3" s="145"/>
      <c r="G3" s="145"/>
      <c r="H3" s="145"/>
      <c r="I3" s="145"/>
      <c r="J3" s="145"/>
      <c r="K3" s="145"/>
      <c r="L3" s="145"/>
      <c r="M3" s="145"/>
      <c r="N3" s="145"/>
      <c r="O3" s="145"/>
    </row>
    <row r="4" spans="2:16" ht="16.5" customHeight="1" x14ac:dyDescent="0.3">
      <c r="B4" s="192" t="s">
        <v>64</v>
      </c>
      <c r="C4" s="192"/>
      <c r="D4" s="192"/>
      <c r="E4" s="192"/>
      <c r="F4" s="192"/>
      <c r="G4" s="192"/>
      <c r="H4" s="192"/>
      <c r="I4" s="192"/>
      <c r="J4" s="192"/>
      <c r="K4" s="192"/>
      <c r="L4" s="192"/>
      <c r="M4" s="192"/>
      <c r="N4" s="192"/>
      <c r="O4" s="192"/>
    </row>
    <row r="6" spans="2:16" ht="17.25" customHeight="1" thickBot="1" x14ac:dyDescent="0.35">
      <c r="B6" s="161" t="s">
        <v>2</v>
      </c>
      <c r="C6" s="161"/>
      <c r="D6" s="161"/>
      <c r="E6" s="161"/>
      <c r="F6" s="161"/>
      <c r="G6" s="161"/>
      <c r="H6" s="161"/>
      <c r="I6" s="161"/>
      <c r="J6" s="161"/>
      <c r="K6" s="161"/>
      <c r="L6" s="161"/>
      <c r="M6" s="161"/>
      <c r="N6" s="161"/>
      <c r="O6" s="161"/>
    </row>
    <row r="7" spans="2:16" ht="21.75" customHeight="1" x14ac:dyDescent="0.3">
      <c r="B7" s="147" t="s">
        <v>3</v>
      </c>
      <c r="C7" s="149" t="s">
        <v>4</v>
      </c>
      <c r="D7" s="54"/>
      <c r="E7" s="147" t="s">
        <v>5</v>
      </c>
      <c r="F7" s="147"/>
      <c r="G7" s="147"/>
      <c r="H7" s="3"/>
      <c r="I7" s="147" t="s">
        <v>6</v>
      </c>
      <c r="J7" s="147"/>
      <c r="K7" s="147"/>
      <c r="L7" s="3"/>
      <c r="M7" s="147" t="s">
        <v>7</v>
      </c>
      <c r="N7" s="147"/>
      <c r="O7" s="147"/>
    </row>
    <row r="8" spans="2:16" ht="32.25" customHeight="1" thickBot="1" x14ac:dyDescent="0.35">
      <c r="B8" s="148"/>
      <c r="C8" s="150"/>
      <c r="D8" s="5"/>
      <c r="E8" s="4" t="s">
        <v>8</v>
      </c>
      <c r="F8" s="4" t="s">
        <v>9</v>
      </c>
      <c r="G8" s="4" t="s">
        <v>10</v>
      </c>
      <c r="H8" s="5"/>
      <c r="I8" s="4" t="s">
        <v>11</v>
      </c>
      <c r="J8" s="4" t="s">
        <v>12</v>
      </c>
      <c r="K8" s="4" t="s">
        <v>10</v>
      </c>
      <c r="L8" s="5"/>
      <c r="M8" s="4" t="s">
        <v>11</v>
      </c>
      <c r="N8" s="4" t="s">
        <v>12</v>
      </c>
      <c r="O8" s="4" t="s">
        <v>10</v>
      </c>
    </row>
    <row r="9" spans="2:16" ht="20.25" customHeight="1" x14ac:dyDescent="0.3">
      <c r="B9" s="55" t="s">
        <v>13</v>
      </c>
      <c r="C9" s="30">
        <v>165002.41593013174</v>
      </c>
      <c r="D9" s="30"/>
      <c r="E9" s="30">
        <v>25835.335800000001</v>
      </c>
      <c r="F9" s="30">
        <v>17832.777800000003</v>
      </c>
      <c r="G9" s="30">
        <v>8002.5580000000009</v>
      </c>
      <c r="H9" s="30"/>
      <c r="I9" s="30">
        <v>24518.600689163701</v>
      </c>
      <c r="J9" s="30">
        <v>3468.9578138182419</v>
      </c>
      <c r="K9" s="30">
        <v>21049.64287534546</v>
      </c>
      <c r="L9" s="30"/>
      <c r="M9" s="30">
        <v>114648.47944096803</v>
      </c>
      <c r="N9" s="30">
        <v>1890.133411337732</v>
      </c>
      <c r="O9" s="30">
        <v>112758.34602963028</v>
      </c>
    </row>
    <row r="10" spans="2:16" s="44" customFormat="1" ht="13.5" customHeight="1" x14ac:dyDescent="0.25">
      <c r="B10" s="11" t="s">
        <v>14</v>
      </c>
      <c r="C10" s="33">
        <v>3320.2259238075499</v>
      </c>
      <c r="D10" s="33"/>
      <c r="E10" s="33">
        <v>851.06700000000023</v>
      </c>
      <c r="F10" s="33">
        <v>794.39200000000028</v>
      </c>
      <c r="G10" s="39">
        <v>56.674999999999997</v>
      </c>
      <c r="H10" s="35"/>
      <c r="I10" s="33">
        <v>726.84100000000001</v>
      </c>
      <c r="J10" s="33">
        <v>31.281000000000002</v>
      </c>
      <c r="K10" s="33">
        <v>695.56000000000006</v>
      </c>
      <c r="L10" s="35"/>
      <c r="M10" s="33">
        <v>1742.3179238075495</v>
      </c>
      <c r="N10" s="33">
        <v>0</v>
      </c>
      <c r="O10" s="33">
        <v>1742.3179238075495</v>
      </c>
      <c r="P10" s="56"/>
    </row>
    <row r="11" spans="2:16" s="44" customFormat="1" ht="13.5" customHeight="1" x14ac:dyDescent="0.25">
      <c r="B11" s="7" t="s">
        <v>15</v>
      </c>
      <c r="C11" s="33">
        <v>10803.597254931075</v>
      </c>
      <c r="D11" s="33"/>
      <c r="E11" s="33">
        <v>1657.3977999999997</v>
      </c>
      <c r="F11" s="33">
        <v>1032.1638</v>
      </c>
      <c r="G11" s="39">
        <v>625.23399999999981</v>
      </c>
      <c r="H11" s="35"/>
      <c r="I11" s="33">
        <v>1443.8244310000005</v>
      </c>
      <c r="J11" s="33">
        <v>486.62765999999999</v>
      </c>
      <c r="K11" s="33">
        <v>957.19677100000035</v>
      </c>
      <c r="L11" s="35"/>
      <c r="M11" s="33">
        <v>7702.3750239310748</v>
      </c>
      <c r="N11" s="33">
        <v>115.68</v>
      </c>
      <c r="O11" s="33">
        <v>7586.6950239310745</v>
      </c>
      <c r="P11" s="56"/>
    </row>
    <row r="12" spans="2:16" s="44" customFormat="1" ht="13.5" customHeight="1" x14ac:dyDescent="0.25">
      <c r="B12" s="7" t="s">
        <v>16</v>
      </c>
      <c r="C12" s="33">
        <v>7530.8246299999983</v>
      </c>
      <c r="D12" s="33"/>
      <c r="E12" s="33">
        <v>1157.0910000000001</v>
      </c>
      <c r="F12" s="33">
        <v>680.21699999999998</v>
      </c>
      <c r="G12" s="39">
        <v>476.87400000000008</v>
      </c>
      <c r="H12" s="35"/>
      <c r="I12" s="33">
        <v>1367.1436299999998</v>
      </c>
      <c r="J12" s="33">
        <v>9.3915100000000002</v>
      </c>
      <c r="K12" s="33">
        <v>1357.7521199999999</v>
      </c>
      <c r="L12" s="35"/>
      <c r="M12" s="33">
        <v>5006.5899999999983</v>
      </c>
      <c r="N12" s="33">
        <v>7.27</v>
      </c>
      <c r="O12" s="33">
        <v>4999.3199999999979</v>
      </c>
      <c r="P12" s="56"/>
    </row>
    <row r="13" spans="2:16" s="44" customFormat="1" ht="13.5" customHeight="1" x14ac:dyDescent="0.25">
      <c r="B13" s="7" t="s">
        <v>17</v>
      </c>
      <c r="C13" s="33">
        <v>9288.8037556877625</v>
      </c>
      <c r="D13" s="33"/>
      <c r="E13" s="33">
        <v>1433.5119999999997</v>
      </c>
      <c r="F13" s="33">
        <v>1080.0469999999998</v>
      </c>
      <c r="G13" s="39">
        <v>353.46500000000003</v>
      </c>
      <c r="H13" s="35"/>
      <c r="I13" s="33">
        <v>1739.1197454217081</v>
      </c>
      <c r="J13" s="33">
        <v>530.997979046208</v>
      </c>
      <c r="K13" s="33">
        <v>1208.1217663755001</v>
      </c>
      <c r="L13" s="35"/>
      <c r="M13" s="33">
        <v>6116.1720102660547</v>
      </c>
      <c r="N13" s="33">
        <v>393.76999993324</v>
      </c>
      <c r="O13" s="33">
        <v>5722.4020103328148</v>
      </c>
      <c r="P13" s="56"/>
    </row>
    <row r="14" spans="2:16" s="44" customFormat="1" ht="13.5" customHeight="1" x14ac:dyDescent="0.25">
      <c r="B14" s="7" t="s">
        <v>18</v>
      </c>
      <c r="C14" s="33">
        <v>12317.474188196094</v>
      </c>
      <c r="D14" s="33"/>
      <c r="E14" s="33">
        <v>1721.8610000000001</v>
      </c>
      <c r="F14" s="33">
        <v>1383.768</v>
      </c>
      <c r="G14" s="39">
        <v>338.09300000000007</v>
      </c>
      <c r="H14" s="35"/>
      <c r="I14" s="33">
        <v>1909.0431408035693</v>
      </c>
      <c r="J14" s="33">
        <v>154.26102391294899</v>
      </c>
      <c r="K14" s="33">
        <v>1754.7821168906203</v>
      </c>
      <c r="L14" s="35"/>
      <c r="M14" s="33">
        <v>8686.5700473925262</v>
      </c>
      <c r="N14" s="33">
        <v>18.939999999999998</v>
      </c>
      <c r="O14" s="33">
        <v>8667.6300473925257</v>
      </c>
      <c r="P14" s="56"/>
    </row>
    <row r="15" spans="2:16" s="44" customFormat="1" ht="13.5" customHeight="1" x14ac:dyDescent="0.25">
      <c r="B15" s="7" t="s">
        <v>19</v>
      </c>
      <c r="C15" s="33">
        <v>14712.372075516249</v>
      </c>
      <c r="D15" s="33"/>
      <c r="E15" s="33">
        <v>1744.7679999999998</v>
      </c>
      <c r="F15" s="33">
        <v>1227.6109999999999</v>
      </c>
      <c r="G15" s="39">
        <v>517.15699999999993</v>
      </c>
      <c r="H15" s="35"/>
      <c r="I15" s="33">
        <v>855.68516626456017</v>
      </c>
      <c r="J15" s="33">
        <v>31.779000404580003</v>
      </c>
      <c r="K15" s="33">
        <v>823.90616585998021</v>
      </c>
      <c r="L15" s="35"/>
      <c r="M15" s="33">
        <v>12111.918909251688</v>
      </c>
      <c r="N15" s="33">
        <v>41.009999999999984</v>
      </c>
      <c r="O15" s="33">
        <v>12070.908909251688</v>
      </c>
      <c r="P15" s="56"/>
    </row>
    <row r="16" spans="2:16" s="44" customFormat="1" ht="13.5" customHeight="1" x14ac:dyDescent="0.25">
      <c r="B16" s="7" t="s">
        <v>20</v>
      </c>
      <c r="C16" s="33">
        <v>44.68497</v>
      </c>
      <c r="D16" s="33"/>
      <c r="E16" s="33">
        <v>37.786999999999999</v>
      </c>
      <c r="F16" s="33">
        <v>37.786999999999999</v>
      </c>
      <c r="G16" s="39">
        <v>0</v>
      </c>
      <c r="H16" s="35"/>
      <c r="I16" s="33">
        <v>6.8979699999999999</v>
      </c>
      <c r="J16" s="33">
        <v>6.8979699999999999</v>
      </c>
      <c r="K16" s="33">
        <v>0</v>
      </c>
      <c r="L16" s="35"/>
      <c r="M16" s="33">
        <v>0</v>
      </c>
      <c r="N16" s="33">
        <v>0</v>
      </c>
      <c r="O16" s="33">
        <v>0</v>
      </c>
      <c r="P16" s="56"/>
    </row>
    <row r="17" spans="2:16" s="44" customFormat="1" ht="13.5" customHeight="1" x14ac:dyDescent="0.25">
      <c r="B17" s="7" t="s">
        <v>21</v>
      </c>
      <c r="C17" s="33">
        <v>15385.007127581663</v>
      </c>
      <c r="D17" s="33"/>
      <c r="E17" s="33">
        <v>1817.8589999999997</v>
      </c>
      <c r="F17" s="33">
        <v>1189.7679999999996</v>
      </c>
      <c r="G17" s="39">
        <v>628.09100000000012</v>
      </c>
      <c r="H17" s="35"/>
      <c r="I17" s="33">
        <v>2650.9391604729808</v>
      </c>
      <c r="J17" s="33">
        <v>564.09331958800999</v>
      </c>
      <c r="K17" s="33">
        <v>2086.8458408849706</v>
      </c>
      <c r="L17" s="35"/>
      <c r="M17" s="33">
        <v>10916.208967108681</v>
      </c>
      <c r="N17" s="33">
        <v>120.48999999999998</v>
      </c>
      <c r="O17" s="33">
        <v>10795.718967108682</v>
      </c>
      <c r="P17" s="56"/>
    </row>
    <row r="18" spans="2:16" s="44" customFormat="1" ht="13.5" customHeight="1" x14ac:dyDescent="0.25">
      <c r="B18" s="7" t="s">
        <v>22</v>
      </c>
      <c r="C18" s="33">
        <v>8075.5996843945213</v>
      </c>
      <c r="D18" s="33"/>
      <c r="E18" s="33">
        <v>1409.9410000000003</v>
      </c>
      <c r="F18" s="33">
        <v>817.88800000000026</v>
      </c>
      <c r="G18" s="39">
        <v>592.05299999999988</v>
      </c>
      <c r="H18" s="35"/>
      <c r="I18" s="33">
        <v>1408.2661399999997</v>
      </c>
      <c r="J18" s="33">
        <v>21.2971</v>
      </c>
      <c r="K18" s="33">
        <v>1386.9690399999997</v>
      </c>
      <c r="L18" s="35"/>
      <c r="M18" s="33">
        <v>5257.3925443945209</v>
      </c>
      <c r="N18" s="33">
        <v>0.66</v>
      </c>
      <c r="O18" s="33">
        <v>5256.732544394521</v>
      </c>
      <c r="P18" s="56"/>
    </row>
    <row r="19" spans="2:16" s="44" customFormat="1" ht="13.5" customHeight="1" x14ac:dyDescent="0.25">
      <c r="B19" s="7" t="s">
        <v>23</v>
      </c>
      <c r="C19" s="33">
        <v>7437.7937194497081</v>
      </c>
      <c r="D19" s="33"/>
      <c r="E19" s="33">
        <v>1127.144</v>
      </c>
      <c r="F19" s="33">
        <v>552.12</v>
      </c>
      <c r="G19" s="39">
        <v>575.024</v>
      </c>
      <c r="H19" s="35"/>
      <c r="I19" s="33">
        <v>711.72971944970993</v>
      </c>
      <c r="J19" s="33">
        <v>15.984176000000001</v>
      </c>
      <c r="K19" s="33">
        <v>695.74554344970988</v>
      </c>
      <c r="L19" s="35"/>
      <c r="M19" s="33">
        <v>5598.9199999999983</v>
      </c>
      <c r="N19" s="33">
        <v>4.2</v>
      </c>
      <c r="O19" s="33">
        <v>5594.7199999999984</v>
      </c>
      <c r="P19" s="56"/>
    </row>
    <row r="20" spans="2:16" s="44" customFormat="1" ht="13.5" customHeight="1" x14ac:dyDescent="0.25">
      <c r="B20" s="7" t="s">
        <v>24</v>
      </c>
      <c r="C20" s="33">
        <v>3493.9312519815503</v>
      </c>
      <c r="D20" s="33"/>
      <c r="E20" s="33">
        <v>697.77599999999984</v>
      </c>
      <c r="F20" s="33">
        <v>629.1099999999999</v>
      </c>
      <c r="G20" s="39">
        <v>68.665999999999997</v>
      </c>
      <c r="H20" s="35"/>
      <c r="I20" s="33">
        <v>743.91369922210015</v>
      </c>
      <c r="J20" s="33">
        <v>48.940999999999995</v>
      </c>
      <c r="K20" s="33">
        <v>694.97269922210012</v>
      </c>
      <c r="L20" s="35"/>
      <c r="M20" s="33">
        <v>2052.2415527594503</v>
      </c>
      <c r="N20" s="33">
        <v>82.019999999999982</v>
      </c>
      <c r="O20" s="33">
        <v>1970.2215527594503</v>
      </c>
      <c r="P20" s="56"/>
    </row>
    <row r="21" spans="2:16" s="44" customFormat="1" ht="13.5" customHeight="1" x14ac:dyDescent="0.25">
      <c r="B21" s="7" t="s">
        <v>25</v>
      </c>
      <c r="C21" s="33">
        <v>11892.648697335009</v>
      </c>
      <c r="D21" s="33"/>
      <c r="E21" s="33">
        <v>1536.3000000000004</v>
      </c>
      <c r="F21" s="33">
        <v>933.72500000000036</v>
      </c>
      <c r="G21" s="39">
        <v>602.57500000000005</v>
      </c>
      <c r="H21" s="35"/>
      <c r="I21" s="33">
        <v>833.84869733500011</v>
      </c>
      <c r="J21" s="33">
        <v>67.679109999999994</v>
      </c>
      <c r="K21" s="33">
        <v>766.16958733500007</v>
      </c>
      <c r="L21" s="35"/>
      <c r="M21" s="33">
        <v>9522.5000000000091</v>
      </c>
      <c r="N21" s="33">
        <v>218.29999999999998</v>
      </c>
      <c r="O21" s="33">
        <v>9304.2000000000098</v>
      </c>
      <c r="P21" s="56"/>
    </row>
    <row r="22" spans="2:16" s="44" customFormat="1" ht="13.5" customHeight="1" x14ac:dyDescent="0.25">
      <c r="B22" s="7" t="s">
        <v>26</v>
      </c>
      <c r="C22" s="33">
        <v>8706.0888741192466</v>
      </c>
      <c r="D22" s="33"/>
      <c r="E22" s="33">
        <v>1262.1879999999999</v>
      </c>
      <c r="F22" s="33">
        <v>642.41199999999981</v>
      </c>
      <c r="G22" s="39">
        <v>619.77600000000007</v>
      </c>
      <c r="H22" s="35"/>
      <c r="I22" s="33">
        <v>1766.4111142665661</v>
      </c>
      <c r="J22" s="33">
        <v>92.015232999999995</v>
      </c>
      <c r="K22" s="33">
        <v>1674.395881266566</v>
      </c>
      <c r="L22" s="35"/>
      <c r="M22" s="33">
        <v>5677.4897598526804</v>
      </c>
      <c r="N22" s="33">
        <v>155.51000000000005</v>
      </c>
      <c r="O22" s="33">
        <v>5521.9797598526802</v>
      </c>
      <c r="P22" s="56"/>
    </row>
    <row r="23" spans="2:16" s="44" customFormat="1" ht="13.5" customHeight="1" x14ac:dyDescent="0.25">
      <c r="B23" s="7" t="s">
        <v>27</v>
      </c>
      <c r="C23" s="33">
        <v>3184.6840002139606</v>
      </c>
      <c r="D23" s="33"/>
      <c r="E23" s="33">
        <v>466.89700000000005</v>
      </c>
      <c r="F23" s="33">
        <v>444.71000000000004</v>
      </c>
      <c r="G23" s="39">
        <v>22.187000000000001</v>
      </c>
      <c r="H23" s="35"/>
      <c r="I23" s="33">
        <v>663.05700021396012</v>
      </c>
      <c r="J23" s="33">
        <v>213.75100000000006</v>
      </c>
      <c r="K23" s="33">
        <v>449.30600021396003</v>
      </c>
      <c r="L23" s="35"/>
      <c r="M23" s="33">
        <v>2054.7300000000005</v>
      </c>
      <c r="N23" s="33">
        <v>27.549999999999997</v>
      </c>
      <c r="O23" s="33">
        <v>2027.1800000000003</v>
      </c>
      <c r="P23" s="56"/>
    </row>
    <row r="24" spans="2:16" s="44" customFormat="1" ht="13.5" customHeight="1" x14ac:dyDescent="0.25">
      <c r="B24" s="7" t="s">
        <v>28</v>
      </c>
      <c r="C24" s="33">
        <v>7478.0281912776754</v>
      </c>
      <c r="D24" s="33"/>
      <c r="E24" s="33">
        <v>1713.7410000000004</v>
      </c>
      <c r="F24" s="33">
        <v>1132.6520000000005</v>
      </c>
      <c r="G24" s="39">
        <v>581.08899999999994</v>
      </c>
      <c r="H24" s="35"/>
      <c r="I24" s="33">
        <v>1497.6122208213483</v>
      </c>
      <c r="J24" s="33">
        <v>158.62428082134804</v>
      </c>
      <c r="K24" s="33">
        <v>1338.9879400000002</v>
      </c>
      <c r="L24" s="35"/>
      <c r="M24" s="33">
        <v>4266.6749704563263</v>
      </c>
      <c r="N24" s="33">
        <v>173.91</v>
      </c>
      <c r="O24" s="33">
        <v>4092.7649704563264</v>
      </c>
      <c r="P24" s="56"/>
    </row>
    <row r="25" spans="2:16" s="44" customFormat="1" ht="13.5" customHeight="1" x14ac:dyDescent="0.25">
      <c r="B25" s="7" t="s">
        <v>29</v>
      </c>
      <c r="C25" s="33">
        <v>796.37222999999994</v>
      </c>
      <c r="D25" s="33"/>
      <c r="E25" s="33">
        <v>87.884</v>
      </c>
      <c r="F25" s="33">
        <v>43.085000000000001</v>
      </c>
      <c r="G25" s="39">
        <v>44.798999999999999</v>
      </c>
      <c r="H25" s="35"/>
      <c r="I25" s="33">
        <v>289.43822999999998</v>
      </c>
      <c r="J25" s="33">
        <v>108.48399999999999</v>
      </c>
      <c r="K25" s="33">
        <v>180.95423</v>
      </c>
      <c r="L25" s="35"/>
      <c r="M25" s="33">
        <v>419.05</v>
      </c>
      <c r="N25" s="33">
        <v>19.079999999999998</v>
      </c>
      <c r="O25" s="33">
        <v>399.97</v>
      </c>
      <c r="P25" s="56"/>
    </row>
    <row r="26" spans="2:16" s="44" customFormat="1" ht="13.5" customHeight="1" x14ac:dyDescent="0.25">
      <c r="B26" s="7" t="s">
        <v>30</v>
      </c>
      <c r="C26" s="33">
        <v>1986.9160490383006</v>
      </c>
      <c r="D26" s="33"/>
      <c r="E26" s="33">
        <v>399.27600000000001</v>
      </c>
      <c r="F26" s="33">
        <v>399.27600000000001</v>
      </c>
      <c r="G26" s="39">
        <v>0</v>
      </c>
      <c r="H26" s="35"/>
      <c r="I26" s="33">
        <v>203.14000000000001</v>
      </c>
      <c r="J26" s="33">
        <v>3.673</v>
      </c>
      <c r="K26" s="33">
        <v>199.46700000000001</v>
      </c>
      <c r="L26" s="35"/>
      <c r="M26" s="33">
        <v>1384.5000490383006</v>
      </c>
      <c r="N26" s="33">
        <v>5.07</v>
      </c>
      <c r="O26" s="33">
        <v>1379.4300490383007</v>
      </c>
      <c r="P26" s="56"/>
    </row>
    <row r="27" spans="2:16" s="44" customFormat="1" ht="13.5" customHeight="1" x14ac:dyDescent="0.25">
      <c r="B27" s="7" t="s">
        <v>31</v>
      </c>
      <c r="C27" s="33">
        <v>2640.0170964138115</v>
      </c>
      <c r="D27" s="33"/>
      <c r="E27" s="33">
        <v>469.24500000000006</v>
      </c>
      <c r="F27" s="33">
        <v>469.24500000000006</v>
      </c>
      <c r="G27" s="39">
        <v>0</v>
      </c>
      <c r="H27" s="35"/>
      <c r="I27" s="33">
        <v>908.93209641381122</v>
      </c>
      <c r="J27" s="33">
        <v>78.433623245210995</v>
      </c>
      <c r="K27" s="33">
        <v>830.49847316860019</v>
      </c>
      <c r="L27" s="35"/>
      <c r="M27" s="33">
        <v>1261.8399999999999</v>
      </c>
      <c r="N27" s="33">
        <v>98.219999999999985</v>
      </c>
      <c r="O27" s="33">
        <v>1163.6199999999999</v>
      </c>
      <c r="P27" s="56"/>
    </row>
    <row r="28" spans="2:16" s="44" customFormat="1" ht="13.5" customHeight="1" x14ac:dyDescent="0.25">
      <c r="B28" s="7" t="s">
        <v>32</v>
      </c>
      <c r="C28" s="33">
        <v>3281.1481287044899</v>
      </c>
      <c r="D28" s="33"/>
      <c r="E28" s="33">
        <v>562.53199999999993</v>
      </c>
      <c r="F28" s="33">
        <v>273.11899999999997</v>
      </c>
      <c r="G28" s="39">
        <v>289.41300000000001</v>
      </c>
      <c r="H28" s="35"/>
      <c r="I28" s="33">
        <v>607.57549150335012</v>
      </c>
      <c r="J28" s="33">
        <v>34.434956</v>
      </c>
      <c r="K28" s="33">
        <v>573.14053550335007</v>
      </c>
      <c r="L28" s="35"/>
      <c r="M28" s="33">
        <v>2111.0406372011398</v>
      </c>
      <c r="N28" s="33">
        <v>0</v>
      </c>
      <c r="O28" s="33">
        <v>2111.0406372011398</v>
      </c>
      <c r="P28" s="56"/>
    </row>
    <row r="29" spans="2:16" s="44" customFormat="1" ht="13.5" customHeight="1" x14ac:dyDescent="0.25">
      <c r="B29" s="7" t="s">
        <v>34</v>
      </c>
      <c r="C29" s="33">
        <v>8949.3479736683803</v>
      </c>
      <c r="D29" s="33"/>
      <c r="E29" s="33">
        <v>1705.7819999999997</v>
      </c>
      <c r="F29" s="33">
        <v>1145.8839999999998</v>
      </c>
      <c r="G29" s="39">
        <v>559.89800000000002</v>
      </c>
      <c r="H29" s="35"/>
      <c r="I29" s="33">
        <v>553.44000233989607</v>
      </c>
      <c r="J29" s="33">
        <v>142.78900208219599</v>
      </c>
      <c r="K29" s="33">
        <v>410.65100025770005</v>
      </c>
      <c r="L29" s="35"/>
      <c r="M29" s="33">
        <v>6690.1259713284835</v>
      </c>
      <c r="N29" s="33">
        <v>170.89999999999992</v>
      </c>
      <c r="O29" s="33">
        <v>6519.2259713284839</v>
      </c>
      <c r="P29" s="56"/>
    </row>
    <row r="30" spans="2:16" s="44" customFormat="1" ht="13.5" customHeight="1" x14ac:dyDescent="0.25">
      <c r="B30" s="7" t="s">
        <v>35</v>
      </c>
      <c r="C30" s="33">
        <v>13077.148485610167</v>
      </c>
      <c r="D30" s="33"/>
      <c r="E30" s="33">
        <v>2016.9760000000001</v>
      </c>
      <c r="F30" s="33">
        <v>1395.9380000000001</v>
      </c>
      <c r="G30" s="39">
        <v>621.03800000000001</v>
      </c>
      <c r="H30" s="35"/>
      <c r="I30" s="33">
        <v>1711.96141143062</v>
      </c>
      <c r="J30" s="33">
        <v>362.8334100000003</v>
      </c>
      <c r="K30" s="33">
        <v>1349.1280014306196</v>
      </c>
      <c r="L30" s="35"/>
      <c r="M30" s="33">
        <v>9348.2110741795477</v>
      </c>
      <c r="N30" s="33">
        <v>66.24341140449242</v>
      </c>
      <c r="O30" s="33">
        <v>9281.9676627750559</v>
      </c>
      <c r="P30" s="56"/>
    </row>
    <row r="31" spans="2:16" s="44" customFormat="1" ht="13.5" customHeight="1" x14ac:dyDescent="0.25">
      <c r="B31" s="7" t="s">
        <v>36</v>
      </c>
      <c r="C31" s="39">
        <v>5213.7220077625898</v>
      </c>
      <c r="D31" s="39"/>
      <c r="E31" s="39">
        <v>868.84899999999971</v>
      </c>
      <c r="F31" s="33">
        <v>697.75899999999967</v>
      </c>
      <c r="G31" s="39">
        <v>171.09</v>
      </c>
      <c r="H31" s="35"/>
      <c r="I31" s="39">
        <v>906.38300776259007</v>
      </c>
      <c r="J31" s="33">
        <v>150.17699816359999</v>
      </c>
      <c r="K31" s="33">
        <v>756.20600959899002</v>
      </c>
      <c r="L31" s="35"/>
      <c r="M31" s="39">
        <v>3438.49</v>
      </c>
      <c r="N31" s="33">
        <v>0.09</v>
      </c>
      <c r="O31" s="33">
        <v>3438.3999999999996</v>
      </c>
      <c r="P31" s="56"/>
    </row>
    <row r="32" spans="2:16" s="44" customFormat="1" ht="13.5" customHeight="1" x14ac:dyDescent="0.25">
      <c r="B32" s="7" t="s">
        <v>37</v>
      </c>
      <c r="C32" s="39">
        <v>2520.3413842583404</v>
      </c>
      <c r="D32" s="39"/>
      <c r="E32" s="39">
        <v>636.88400000000013</v>
      </c>
      <c r="F32" s="33">
        <v>470.86000000000013</v>
      </c>
      <c r="G32" s="39">
        <v>166.024</v>
      </c>
      <c r="H32" s="35"/>
      <c r="I32" s="39">
        <v>502.86738425834</v>
      </c>
      <c r="J32" s="33">
        <v>85.002461554139998</v>
      </c>
      <c r="K32" s="33">
        <v>417.86492270420001</v>
      </c>
      <c r="L32" s="35"/>
      <c r="M32" s="39">
        <v>1380.5900000000001</v>
      </c>
      <c r="N32" s="33">
        <v>151.54999999999995</v>
      </c>
      <c r="O32" s="33">
        <v>1229.0400000000002</v>
      </c>
      <c r="P32" s="56"/>
    </row>
    <row r="33" spans="2:16" s="44" customFormat="1" ht="13.5" customHeight="1" x14ac:dyDescent="0.25">
      <c r="B33" s="7" t="s">
        <v>38</v>
      </c>
      <c r="C33" s="39">
        <v>939.73723037432023</v>
      </c>
      <c r="D33" s="39"/>
      <c r="E33" s="39">
        <v>138.14600000000002</v>
      </c>
      <c r="F33" s="33">
        <v>138.14600000000002</v>
      </c>
      <c r="G33" s="39">
        <v>0</v>
      </c>
      <c r="H33" s="35"/>
      <c r="I33" s="39">
        <v>285.27123037432</v>
      </c>
      <c r="J33" s="33">
        <v>69.509</v>
      </c>
      <c r="K33" s="33">
        <v>215.76223037431998</v>
      </c>
      <c r="L33" s="35"/>
      <c r="M33" s="39">
        <v>516.32000000000016</v>
      </c>
      <c r="N33" s="33">
        <v>9.33</v>
      </c>
      <c r="O33" s="33">
        <v>506.99000000000012</v>
      </c>
      <c r="P33" s="56"/>
    </row>
    <row r="34" spans="2:16" s="44" customFormat="1" ht="13.5" customHeight="1" thickBot="1" x14ac:dyDescent="0.3">
      <c r="B34" s="13" t="s">
        <v>39</v>
      </c>
      <c r="C34" s="42">
        <v>1925.9009998092697</v>
      </c>
      <c r="D34" s="42"/>
      <c r="E34" s="42">
        <v>314.43200000000007</v>
      </c>
      <c r="F34" s="42">
        <v>221.09500000000006</v>
      </c>
      <c r="G34" s="42">
        <v>93.337000000000003</v>
      </c>
      <c r="H34" s="42"/>
      <c r="I34" s="42">
        <v>225.25899980926999</v>
      </c>
      <c r="J34" s="42">
        <v>0</v>
      </c>
      <c r="K34" s="42">
        <v>225.25899980926999</v>
      </c>
      <c r="L34" s="42"/>
      <c r="M34" s="42">
        <v>1386.2099999999996</v>
      </c>
      <c r="N34" s="42">
        <v>10.339999999999998</v>
      </c>
      <c r="O34" s="42">
        <v>1375.8699999999997</v>
      </c>
      <c r="P34" s="56"/>
    </row>
    <row r="35" spans="2:16" ht="27.75" customHeight="1" x14ac:dyDescent="0.3">
      <c r="B35" s="162" t="s">
        <v>60</v>
      </c>
      <c r="C35" s="162"/>
      <c r="D35" s="162"/>
      <c r="E35" s="162"/>
      <c r="F35" s="162"/>
      <c r="G35" s="162"/>
      <c r="H35" s="162"/>
      <c r="I35" s="162"/>
      <c r="J35" s="162"/>
      <c r="K35" s="162"/>
      <c r="L35" s="162"/>
      <c r="M35" s="162"/>
      <c r="N35" s="162"/>
      <c r="O35" s="162"/>
    </row>
    <row r="36" spans="2:16" ht="29.25" customHeight="1" x14ac:dyDescent="0.3">
      <c r="B36" s="58" t="s">
        <v>55</v>
      </c>
      <c r="C36" s="44"/>
      <c r="D36" s="44"/>
      <c r="E36" s="44"/>
      <c r="F36" s="44"/>
      <c r="G36" s="44"/>
      <c r="H36" s="44"/>
      <c r="I36" s="44"/>
      <c r="J36" s="44"/>
      <c r="K36" s="44"/>
      <c r="L36" s="44"/>
      <c r="M36" s="44"/>
      <c r="N36" s="44"/>
    </row>
    <row r="37" spans="2:16" ht="11.25" customHeight="1" x14ac:dyDescent="0.3">
      <c r="B37" s="15" t="s">
        <v>65</v>
      </c>
      <c r="C37" s="44"/>
      <c r="D37" s="44"/>
      <c r="E37" s="44"/>
      <c r="F37" s="44"/>
      <c r="G37" s="44"/>
      <c r="H37" s="44"/>
      <c r="I37" s="44"/>
      <c r="J37" s="44"/>
      <c r="K37" s="44"/>
      <c r="L37" s="44"/>
      <c r="M37" s="44"/>
      <c r="N37" s="44"/>
    </row>
    <row r="38" spans="2:16" x14ac:dyDescent="0.3">
      <c r="B38" s="16" t="s">
        <v>43</v>
      </c>
      <c r="C38" s="44"/>
      <c r="D38" s="44"/>
      <c r="E38" s="44"/>
      <c r="F38" s="44"/>
      <c r="G38" s="44"/>
      <c r="H38" s="44"/>
      <c r="I38" s="44"/>
      <c r="J38" s="44" t="s">
        <v>66</v>
      </c>
      <c r="K38" s="44"/>
      <c r="L38" s="44"/>
      <c r="M38" s="44"/>
      <c r="N38" s="44"/>
    </row>
    <row r="39" spans="2:16" x14ac:dyDescent="0.3">
      <c r="B39" s="44"/>
      <c r="C39" s="44"/>
      <c r="D39" s="44"/>
      <c r="E39" s="44"/>
      <c r="F39" s="44"/>
      <c r="G39" s="44"/>
      <c r="H39" s="44"/>
      <c r="I39" s="44"/>
      <c r="J39" s="44"/>
      <c r="K39" s="44" t="s">
        <v>66</v>
      </c>
      <c r="L39" s="44"/>
      <c r="M39" s="44"/>
      <c r="N39" s="44"/>
    </row>
    <row r="40" spans="2:16" ht="16.5" customHeight="1" x14ac:dyDescent="0.3">
      <c r="B40" s="145" t="s">
        <v>136</v>
      </c>
      <c r="C40" s="145"/>
      <c r="D40" s="145"/>
      <c r="E40" s="145"/>
      <c r="F40" s="145"/>
      <c r="G40" s="145"/>
      <c r="H40" s="145"/>
      <c r="I40" s="145"/>
      <c r="J40" s="145"/>
      <c r="K40" s="145"/>
      <c r="L40" s="145"/>
      <c r="M40" s="145"/>
      <c r="N40" s="145"/>
      <c r="O40" s="145"/>
    </row>
    <row r="41" spans="2:16" ht="34.5" customHeight="1" x14ac:dyDescent="0.3">
      <c r="B41" s="192" t="s">
        <v>67</v>
      </c>
      <c r="C41" s="192"/>
      <c r="D41" s="192"/>
      <c r="E41" s="192"/>
      <c r="F41" s="192"/>
      <c r="G41" s="192"/>
      <c r="H41" s="192"/>
      <c r="I41" s="192"/>
      <c r="J41" s="192"/>
      <c r="K41" s="192"/>
      <c r="L41" s="192"/>
      <c r="M41" s="192"/>
      <c r="N41" s="192"/>
      <c r="O41" s="192"/>
    </row>
    <row r="42" spans="2:16" ht="24.75" customHeight="1" x14ac:dyDescent="0.3">
      <c r="C42" s="72"/>
    </row>
    <row r="43" spans="2:16" ht="19.7" customHeight="1" thickBot="1" x14ac:dyDescent="0.35">
      <c r="C43" s="59"/>
      <c r="D43" s="59"/>
      <c r="E43" s="59"/>
      <c r="F43" s="59"/>
      <c r="G43" s="59"/>
      <c r="H43" s="59" t="s">
        <v>2</v>
      </c>
      <c r="I43" s="59"/>
      <c r="J43" s="59"/>
      <c r="K43" s="59"/>
      <c r="L43" s="59"/>
      <c r="M43" s="59"/>
      <c r="N43" s="59"/>
    </row>
    <row r="44" spans="2:16" ht="24" customHeight="1" x14ac:dyDescent="0.3">
      <c r="B44" s="147" t="s">
        <v>3</v>
      </c>
      <c r="C44" s="163" t="s">
        <v>4</v>
      </c>
      <c r="D44" s="60"/>
      <c r="E44" s="165" t="s">
        <v>5</v>
      </c>
      <c r="F44" s="165"/>
      <c r="G44" s="165"/>
      <c r="H44" s="61"/>
      <c r="I44" s="147" t="s">
        <v>6</v>
      </c>
      <c r="J44" s="147"/>
      <c r="K44" s="147"/>
      <c r="L44" s="3"/>
      <c r="M44" s="147" t="s">
        <v>7</v>
      </c>
      <c r="N44" s="147"/>
      <c r="O44" s="147"/>
    </row>
    <row r="45" spans="2:16" ht="30"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2:16" ht="20.25" customHeight="1" x14ac:dyDescent="0.3">
      <c r="B46" s="55" t="s">
        <v>13</v>
      </c>
      <c r="C46" s="30">
        <v>165371.95945002884</v>
      </c>
      <c r="D46" s="30"/>
      <c r="E46" s="30">
        <v>26436.070799999994</v>
      </c>
      <c r="F46" s="30">
        <v>18420.092800000006</v>
      </c>
      <c r="G46" s="30">
        <v>8015.9780000000001</v>
      </c>
      <c r="H46" s="30"/>
      <c r="I46" s="30">
        <v>24287.409209060759</v>
      </c>
      <c r="J46" s="30">
        <v>3459.020743818242</v>
      </c>
      <c r="K46" s="30">
        <v>20828.388465242522</v>
      </c>
      <c r="L46" s="30"/>
      <c r="M46" s="30">
        <v>114648.47944096803</v>
      </c>
      <c r="N46" s="30">
        <v>1890.133411337732</v>
      </c>
      <c r="O46" s="64">
        <v>112758.34602963028</v>
      </c>
    </row>
    <row r="47" spans="2:16" s="68" customFormat="1" ht="13.5" customHeight="1" x14ac:dyDescent="0.25">
      <c r="B47" s="11" t="s">
        <v>14</v>
      </c>
      <c r="C47" s="65">
        <v>3320.2059238075499</v>
      </c>
      <c r="D47" s="65"/>
      <c r="E47" s="65">
        <v>851.04700000000014</v>
      </c>
      <c r="F47" s="65">
        <v>823.25100000000009</v>
      </c>
      <c r="G47" s="65">
        <v>27.795999999999999</v>
      </c>
      <c r="H47" s="65"/>
      <c r="I47" s="65">
        <v>726.84100000000001</v>
      </c>
      <c r="J47" s="33">
        <v>31.281000000000002</v>
      </c>
      <c r="K47" s="33">
        <v>695.56000000000006</v>
      </c>
      <c r="L47" s="35"/>
      <c r="M47" s="33">
        <v>1742.3179238075495</v>
      </c>
      <c r="N47" s="33">
        <v>0</v>
      </c>
      <c r="O47" s="33">
        <v>1742.3179238075495</v>
      </c>
      <c r="P47" s="66"/>
    </row>
    <row r="48" spans="2:16" s="68" customFormat="1" ht="13.5" customHeight="1" x14ac:dyDescent="0.25">
      <c r="B48" s="7" t="s">
        <v>15</v>
      </c>
      <c r="C48" s="65">
        <v>10840.506774828134</v>
      </c>
      <c r="D48" s="65"/>
      <c r="E48" s="65">
        <v>1919.3308000000002</v>
      </c>
      <c r="F48" s="65">
        <v>1158.7938000000001</v>
      </c>
      <c r="G48" s="65">
        <v>760.53699999999992</v>
      </c>
      <c r="H48" s="65"/>
      <c r="I48" s="65">
        <v>1218.8009508970592</v>
      </c>
      <c r="J48" s="33">
        <v>482.76159000000001</v>
      </c>
      <c r="K48" s="33">
        <v>736.03936089705928</v>
      </c>
      <c r="L48" s="35"/>
      <c r="M48" s="33">
        <v>7702.3750239310748</v>
      </c>
      <c r="N48" s="33">
        <v>115.68</v>
      </c>
      <c r="O48" s="33">
        <v>7586.6950239310745</v>
      </c>
      <c r="P48" s="66"/>
    </row>
    <row r="49" spans="2:16" s="68" customFormat="1" ht="13.5" customHeight="1" x14ac:dyDescent="0.25">
      <c r="B49" s="7" t="s">
        <v>16</v>
      </c>
      <c r="C49" s="65">
        <v>7530.8246299999983</v>
      </c>
      <c r="D49" s="65"/>
      <c r="E49" s="65">
        <v>1157.0910000000001</v>
      </c>
      <c r="F49" s="65">
        <v>680.2170000000001</v>
      </c>
      <c r="G49" s="65">
        <v>476.87400000000008</v>
      </c>
      <c r="H49" s="65"/>
      <c r="I49" s="65">
        <v>1367.1436299999998</v>
      </c>
      <c r="J49" s="33">
        <v>9.3915100000000002</v>
      </c>
      <c r="K49" s="33">
        <v>1357.7521199999999</v>
      </c>
      <c r="L49" s="35"/>
      <c r="M49" s="33">
        <v>5006.5899999999983</v>
      </c>
      <c r="N49" s="33">
        <v>7.27</v>
      </c>
      <c r="O49" s="33">
        <v>4999.3199999999979</v>
      </c>
      <c r="P49" s="66"/>
    </row>
    <row r="50" spans="2:16" s="68" customFormat="1" ht="13.5" customHeight="1" x14ac:dyDescent="0.25">
      <c r="B50" s="7" t="s">
        <v>17</v>
      </c>
      <c r="C50" s="65">
        <v>9353.5037556877633</v>
      </c>
      <c r="D50" s="65"/>
      <c r="E50" s="65">
        <v>1498.212</v>
      </c>
      <c r="F50" s="65">
        <v>1180.8589999999999</v>
      </c>
      <c r="G50" s="65">
        <v>317.35299999999995</v>
      </c>
      <c r="H50" s="65"/>
      <c r="I50" s="65">
        <v>1739.1197454217081</v>
      </c>
      <c r="J50" s="33">
        <v>530.997979046208</v>
      </c>
      <c r="K50" s="33">
        <v>1208.1217663755001</v>
      </c>
      <c r="L50" s="35"/>
      <c r="M50" s="33">
        <v>6116.1720102660547</v>
      </c>
      <c r="N50" s="33">
        <v>393.76999993324</v>
      </c>
      <c r="O50" s="33">
        <v>5722.4020103328148</v>
      </c>
      <c r="P50" s="66"/>
    </row>
    <row r="51" spans="2:16" s="68" customFormat="1" ht="13.5" customHeight="1" x14ac:dyDescent="0.25">
      <c r="B51" s="7" t="s">
        <v>18</v>
      </c>
      <c r="C51" s="65">
        <v>12315.945188196096</v>
      </c>
      <c r="D51" s="65"/>
      <c r="E51" s="65">
        <v>1720.3319999999999</v>
      </c>
      <c r="F51" s="65">
        <v>1511.914</v>
      </c>
      <c r="G51" s="65">
        <v>208.41800000000001</v>
      </c>
      <c r="H51" s="65"/>
      <c r="I51" s="65">
        <v>1909.0431408035693</v>
      </c>
      <c r="J51" s="33">
        <v>154.26102391294899</v>
      </c>
      <c r="K51" s="33">
        <v>1754.7821168906203</v>
      </c>
      <c r="L51" s="35"/>
      <c r="M51" s="33">
        <v>8686.5700473925262</v>
      </c>
      <c r="N51" s="33">
        <v>18.939999999999998</v>
      </c>
      <c r="O51" s="33">
        <v>8667.6300473925257</v>
      </c>
      <c r="P51" s="66"/>
    </row>
    <row r="52" spans="2:16" s="68" customFormat="1" ht="13.5" customHeight="1" x14ac:dyDescent="0.25">
      <c r="B52" s="7" t="s">
        <v>19</v>
      </c>
      <c r="C52" s="65">
        <v>14721.429075516247</v>
      </c>
      <c r="D52" s="65"/>
      <c r="E52" s="65">
        <v>1753.8250000000003</v>
      </c>
      <c r="F52" s="65">
        <v>1282.2410000000004</v>
      </c>
      <c r="G52" s="65">
        <v>471.58399999999995</v>
      </c>
      <c r="H52" s="65"/>
      <c r="I52" s="65">
        <v>855.68516626456017</v>
      </c>
      <c r="J52" s="33">
        <v>31.779000404580003</v>
      </c>
      <c r="K52" s="33">
        <v>823.90616585998021</v>
      </c>
      <c r="L52" s="35"/>
      <c r="M52" s="33">
        <v>12111.918909251688</v>
      </c>
      <c r="N52" s="33">
        <v>41.009999999999984</v>
      </c>
      <c r="O52" s="33">
        <v>12070.908909251688</v>
      </c>
      <c r="P52" s="66"/>
    </row>
    <row r="53" spans="2:16" s="68" customFormat="1" ht="13.5" customHeight="1" x14ac:dyDescent="0.25">
      <c r="B53" s="7" t="s">
        <v>20</v>
      </c>
      <c r="C53" s="65">
        <v>44.68497</v>
      </c>
      <c r="D53" s="65"/>
      <c r="E53" s="65">
        <v>37.786999999999999</v>
      </c>
      <c r="F53" s="65">
        <v>37.786999999999999</v>
      </c>
      <c r="G53" s="65">
        <v>0</v>
      </c>
      <c r="H53" s="65"/>
      <c r="I53" s="65">
        <v>6.8979699999999999</v>
      </c>
      <c r="J53" s="33">
        <v>6.8979699999999999</v>
      </c>
      <c r="K53" s="33">
        <v>0</v>
      </c>
      <c r="L53" s="35"/>
      <c r="M53" s="33">
        <v>0</v>
      </c>
      <c r="N53" s="33">
        <v>0</v>
      </c>
      <c r="O53" s="33">
        <v>0</v>
      </c>
      <c r="P53" s="66"/>
    </row>
    <row r="54" spans="2:16" s="68" customFormat="1" ht="13.5" customHeight="1" x14ac:dyDescent="0.25">
      <c r="B54" s="7" t="s">
        <v>21</v>
      </c>
      <c r="C54" s="65">
        <v>15386.360127581662</v>
      </c>
      <c r="D54" s="65"/>
      <c r="E54" s="65">
        <v>1819.212</v>
      </c>
      <c r="F54" s="65">
        <v>1191.1209999999999</v>
      </c>
      <c r="G54" s="65">
        <v>628.09100000000012</v>
      </c>
      <c r="H54" s="65"/>
      <c r="I54" s="65">
        <v>2650.9391604729808</v>
      </c>
      <c r="J54" s="33">
        <v>564.09331958800999</v>
      </c>
      <c r="K54" s="33">
        <v>2086.8458408849706</v>
      </c>
      <c r="L54" s="35"/>
      <c r="M54" s="33">
        <v>10916.208967108681</v>
      </c>
      <c r="N54" s="33">
        <v>120.48999999999998</v>
      </c>
      <c r="O54" s="33">
        <v>10795.718967108682</v>
      </c>
      <c r="P54" s="66"/>
    </row>
    <row r="55" spans="2:16" s="68" customFormat="1" ht="13.5" customHeight="1" x14ac:dyDescent="0.25">
      <c r="B55" s="7" t="s">
        <v>22</v>
      </c>
      <c r="C55" s="65">
        <v>8069.9976843945205</v>
      </c>
      <c r="D55" s="65"/>
      <c r="E55" s="65">
        <v>1404.3389999999999</v>
      </c>
      <c r="F55" s="65">
        <v>851.875</v>
      </c>
      <c r="G55" s="65">
        <v>552.46400000000006</v>
      </c>
      <c r="H55" s="65"/>
      <c r="I55" s="65">
        <v>1408.2661399999997</v>
      </c>
      <c r="J55" s="33">
        <v>21.2971</v>
      </c>
      <c r="K55" s="33">
        <v>1386.9690399999997</v>
      </c>
      <c r="L55" s="35"/>
      <c r="M55" s="33">
        <v>5257.3925443945209</v>
      </c>
      <c r="N55" s="33">
        <v>0.66</v>
      </c>
      <c r="O55" s="33">
        <v>5256.732544394521</v>
      </c>
      <c r="P55" s="66"/>
    </row>
    <row r="56" spans="2:16" s="68" customFormat="1" ht="13.5" customHeight="1" x14ac:dyDescent="0.25">
      <c r="B56" s="7" t="s">
        <v>23</v>
      </c>
      <c r="C56" s="65">
        <v>7595.0117194497079</v>
      </c>
      <c r="D56" s="65"/>
      <c r="E56" s="65">
        <v>1284.3619999999999</v>
      </c>
      <c r="F56" s="65">
        <v>552.11999999999989</v>
      </c>
      <c r="G56" s="65">
        <v>732.24199999999996</v>
      </c>
      <c r="H56" s="65"/>
      <c r="I56" s="65">
        <v>711.72971944970993</v>
      </c>
      <c r="J56" s="33">
        <v>15.984176000000001</v>
      </c>
      <c r="K56" s="33">
        <v>695.74554344970988</v>
      </c>
      <c r="L56" s="35"/>
      <c r="M56" s="33">
        <v>5598.9199999999983</v>
      </c>
      <c r="N56" s="33">
        <v>4.2</v>
      </c>
      <c r="O56" s="33">
        <v>5594.7199999999984</v>
      </c>
      <c r="P56" s="66"/>
    </row>
    <row r="57" spans="2:16" s="68" customFormat="1" ht="13.5" customHeight="1" x14ac:dyDescent="0.25">
      <c r="B57" s="7" t="s">
        <v>24</v>
      </c>
      <c r="C57" s="65">
        <v>3493.9312519815503</v>
      </c>
      <c r="D57" s="65"/>
      <c r="E57" s="65">
        <v>697.77599999999984</v>
      </c>
      <c r="F57" s="65">
        <v>629.1099999999999</v>
      </c>
      <c r="G57" s="65">
        <v>68.665999999999997</v>
      </c>
      <c r="H57" s="65"/>
      <c r="I57" s="65">
        <v>743.91369922210015</v>
      </c>
      <c r="J57" s="33">
        <v>48.940999999999995</v>
      </c>
      <c r="K57" s="33">
        <v>694.97269922210012</v>
      </c>
      <c r="L57" s="35"/>
      <c r="M57" s="33">
        <v>2052.2415527594503</v>
      </c>
      <c r="N57" s="33">
        <v>82.019999999999982</v>
      </c>
      <c r="O57" s="33">
        <v>1970.2215527594503</v>
      </c>
      <c r="P57" s="66"/>
    </row>
    <row r="58" spans="2:16" s="68" customFormat="1" ht="13.5" customHeight="1" x14ac:dyDescent="0.25">
      <c r="B58" s="7" t="s">
        <v>25</v>
      </c>
      <c r="C58" s="65">
        <v>11892.34869733501</v>
      </c>
      <c r="D58" s="65"/>
      <c r="E58" s="65">
        <v>1536.0000000000005</v>
      </c>
      <c r="F58" s="65">
        <v>933.4250000000003</v>
      </c>
      <c r="G58" s="65">
        <v>602.57500000000005</v>
      </c>
      <c r="H58" s="65"/>
      <c r="I58" s="65">
        <v>833.84869733500011</v>
      </c>
      <c r="J58" s="33">
        <v>67.679109999999994</v>
      </c>
      <c r="K58" s="33">
        <v>766.16958733500007</v>
      </c>
      <c r="L58" s="35"/>
      <c r="M58" s="33">
        <v>9522.5000000000091</v>
      </c>
      <c r="N58" s="33">
        <v>218.29999999999998</v>
      </c>
      <c r="O58" s="33">
        <v>9304.2000000000098</v>
      </c>
      <c r="P58" s="66"/>
    </row>
    <row r="59" spans="2:16" s="68" customFormat="1" ht="13.5" customHeight="1" x14ac:dyDescent="0.25">
      <c r="B59" s="7" t="s">
        <v>26</v>
      </c>
      <c r="C59" s="65">
        <v>8742.6868741192466</v>
      </c>
      <c r="D59" s="65"/>
      <c r="E59" s="65">
        <v>1298.7859999999998</v>
      </c>
      <c r="F59" s="65">
        <v>642.29599999999982</v>
      </c>
      <c r="G59" s="65">
        <v>656.49</v>
      </c>
      <c r="H59" s="65"/>
      <c r="I59" s="65">
        <v>1766.4111142665661</v>
      </c>
      <c r="J59" s="33">
        <v>92.015232999999995</v>
      </c>
      <c r="K59" s="33">
        <v>1674.395881266566</v>
      </c>
      <c r="L59" s="35"/>
      <c r="M59" s="33">
        <v>5677.4897598526804</v>
      </c>
      <c r="N59" s="33">
        <v>155.51000000000005</v>
      </c>
      <c r="O59" s="33">
        <v>5521.9797598526802</v>
      </c>
      <c r="P59" s="66"/>
    </row>
    <row r="60" spans="2:16" s="68" customFormat="1" ht="13.5" customHeight="1" x14ac:dyDescent="0.25">
      <c r="B60" s="7" t="s">
        <v>27</v>
      </c>
      <c r="C60" s="65">
        <v>3186.8360002139607</v>
      </c>
      <c r="D60" s="65"/>
      <c r="E60" s="65">
        <v>469.04900000000004</v>
      </c>
      <c r="F60" s="65">
        <v>450.82100000000003</v>
      </c>
      <c r="G60" s="65">
        <v>18.228000000000002</v>
      </c>
      <c r="H60" s="65"/>
      <c r="I60" s="65">
        <v>663.05700021396012</v>
      </c>
      <c r="J60" s="33">
        <v>213.75100000000006</v>
      </c>
      <c r="K60" s="33">
        <v>449.30600021396003</v>
      </c>
      <c r="L60" s="35"/>
      <c r="M60" s="33">
        <v>2054.7300000000005</v>
      </c>
      <c r="N60" s="33">
        <v>27.549999999999997</v>
      </c>
      <c r="O60" s="33">
        <v>2027.1800000000003</v>
      </c>
      <c r="P60" s="66"/>
    </row>
    <row r="61" spans="2:16" s="68" customFormat="1" ht="13.5" customHeight="1" x14ac:dyDescent="0.25">
      <c r="B61" s="7" t="s">
        <v>28</v>
      </c>
      <c r="C61" s="65">
        <v>7477.8411912776737</v>
      </c>
      <c r="D61" s="65"/>
      <c r="E61" s="65">
        <v>1713.5539999999996</v>
      </c>
      <c r="F61" s="65">
        <v>1132.4649999999997</v>
      </c>
      <c r="G61" s="65">
        <v>581.08900000000006</v>
      </c>
      <c r="H61" s="65"/>
      <c r="I61" s="65">
        <v>1497.6122208213483</v>
      </c>
      <c r="J61" s="33">
        <v>158.62428082134804</v>
      </c>
      <c r="K61" s="33">
        <v>1338.9879400000002</v>
      </c>
      <c r="L61" s="35"/>
      <c r="M61" s="33">
        <v>4266.6749704563263</v>
      </c>
      <c r="N61" s="33">
        <v>173.91</v>
      </c>
      <c r="O61" s="33">
        <v>4092.7649704563264</v>
      </c>
      <c r="P61" s="66"/>
    </row>
    <row r="62" spans="2:16" s="68" customFormat="1" ht="13.5" customHeight="1" x14ac:dyDescent="0.25">
      <c r="B62" s="7" t="s">
        <v>29</v>
      </c>
      <c r="C62" s="65">
        <v>832.27622999999994</v>
      </c>
      <c r="D62" s="65"/>
      <c r="E62" s="65">
        <v>129.95600000000002</v>
      </c>
      <c r="F62" s="65">
        <v>49.81</v>
      </c>
      <c r="G62" s="65">
        <v>80.146000000000001</v>
      </c>
      <c r="H62" s="65"/>
      <c r="I62" s="65">
        <v>283.27022999999997</v>
      </c>
      <c r="J62" s="33">
        <v>102.41299999999998</v>
      </c>
      <c r="K62" s="33">
        <v>180.85722999999999</v>
      </c>
      <c r="L62" s="35"/>
      <c r="M62" s="33">
        <v>419.05</v>
      </c>
      <c r="N62" s="33">
        <v>19.079999999999998</v>
      </c>
      <c r="O62" s="33">
        <v>399.97</v>
      </c>
      <c r="P62" s="66"/>
    </row>
    <row r="63" spans="2:16" s="68" customFormat="1" ht="13.5" customHeight="1" x14ac:dyDescent="0.25">
      <c r="B63" s="7" t="s">
        <v>30</v>
      </c>
      <c r="C63" s="65">
        <v>1986.9160490383006</v>
      </c>
      <c r="D63" s="65"/>
      <c r="E63" s="65">
        <v>399.27600000000001</v>
      </c>
      <c r="F63" s="65">
        <v>399.27600000000001</v>
      </c>
      <c r="G63" s="65">
        <v>0</v>
      </c>
      <c r="H63" s="65"/>
      <c r="I63" s="65">
        <v>203.14000000000001</v>
      </c>
      <c r="J63" s="33">
        <v>3.673</v>
      </c>
      <c r="K63" s="33">
        <v>199.46700000000001</v>
      </c>
      <c r="L63" s="35"/>
      <c r="M63" s="33">
        <v>1384.5000490383006</v>
      </c>
      <c r="N63" s="33">
        <v>5.07</v>
      </c>
      <c r="O63" s="33">
        <v>1379.4300490383007</v>
      </c>
      <c r="P63" s="66"/>
    </row>
    <row r="64" spans="2:16" s="68" customFormat="1" ht="13.5" customHeight="1" x14ac:dyDescent="0.25">
      <c r="B64" s="7" t="s">
        <v>31</v>
      </c>
      <c r="C64" s="65">
        <v>2640.0170964138115</v>
      </c>
      <c r="D64" s="65"/>
      <c r="E64" s="65">
        <v>469.24500000000006</v>
      </c>
      <c r="F64" s="65">
        <v>469.24500000000006</v>
      </c>
      <c r="G64" s="65">
        <v>0</v>
      </c>
      <c r="H64" s="65"/>
      <c r="I64" s="65">
        <v>908.93209641381122</v>
      </c>
      <c r="J64" s="33">
        <v>78.433623245210995</v>
      </c>
      <c r="K64" s="33">
        <v>830.49847316860019</v>
      </c>
      <c r="L64" s="35"/>
      <c r="M64" s="33">
        <v>1261.8399999999999</v>
      </c>
      <c r="N64" s="33">
        <v>98.219999999999985</v>
      </c>
      <c r="O64" s="33">
        <v>1163.6199999999999</v>
      </c>
      <c r="P64" s="66"/>
    </row>
    <row r="65" spans="2:16" s="68" customFormat="1" ht="13.5" customHeight="1" x14ac:dyDescent="0.25">
      <c r="B65" s="7" t="s">
        <v>32</v>
      </c>
      <c r="C65" s="65">
        <v>3312.7151287044899</v>
      </c>
      <c r="D65" s="65"/>
      <c r="E65" s="65">
        <v>594.09899999999993</v>
      </c>
      <c r="F65" s="65">
        <v>273.11899999999997</v>
      </c>
      <c r="G65" s="65">
        <v>320.98</v>
      </c>
      <c r="H65" s="65"/>
      <c r="I65" s="65">
        <v>607.57549150335012</v>
      </c>
      <c r="J65" s="33">
        <v>34.434956</v>
      </c>
      <c r="K65" s="33">
        <v>573.14053550335007</v>
      </c>
      <c r="L65" s="35"/>
      <c r="M65" s="33">
        <v>2111.0406372011398</v>
      </c>
      <c r="N65" s="33">
        <v>0</v>
      </c>
      <c r="O65" s="33">
        <v>2111.0406372011398</v>
      </c>
      <c r="P65" s="66"/>
    </row>
    <row r="66" spans="2:16" s="68" customFormat="1" ht="13.5" customHeight="1" x14ac:dyDescent="0.25">
      <c r="B66" s="7" t="s">
        <v>34</v>
      </c>
      <c r="C66" s="65">
        <v>8951.3479736683803</v>
      </c>
      <c r="D66" s="65"/>
      <c r="E66" s="65">
        <v>1707.7820000000002</v>
      </c>
      <c r="F66" s="65">
        <v>1220.2220000000002</v>
      </c>
      <c r="G66" s="65">
        <v>487.56</v>
      </c>
      <c r="H66" s="65"/>
      <c r="I66" s="65">
        <v>553.44000233989607</v>
      </c>
      <c r="J66" s="33">
        <v>142.78900208219599</v>
      </c>
      <c r="K66" s="33">
        <v>410.65100025770005</v>
      </c>
      <c r="L66" s="35"/>
      <c r="M66" s="33">
        <v>6690.1259713284835</v>
      </c>
      <c r="N66" s="33">
        <v>170.89999999999992</v>
      </c>
      <c r="O66" s="33">
        <v>6519.2259713284839</v>
      </c>
      <c r="P66" s="66"/>
    </row>
    <row r="67" spans="2:16" s="68" customFormat="1" ht="13.5" customHeight="1" x14ac:dyDescent="0.25">
      <c r="B67" s="7" t="s">
        <v>35</v>
      </c>
      <c r="C67" s="65">
        <v>13077.148485610167</v>
      </c>
      <c r="D67" s="65"/>
      <c r="E67" s="65">
        <v>2016.9759999999999</v>
      </c>
      <c r="F67" s="65">
        <v>1395.9379999999999</v>
      </c>
      <c r="G67" s="65">
        <v>621.03800000000001</v>
      </c>
      <c r="H67" s="65"/>
      <c r="I67" s="65">
        <v>1711.96141143062</v>
      </c>
      <c r="J67" s="33">
        <v>362.83341000000036</v>
      </c>
      <c r="K67" s="33">
        <v>1349.1280014306196</v>
      </c>
      <c r="L67" s="35"/>
      <c r="M67" s="33">
        <v>9348.2110741795477</v>
      </c>
      <c r="N67" s="33">
        <v>66.24341140449242</v>
      </c>
      <c r="O67" s="33">
        <v>9281.9676627750559</v>
      </c>
      <c r="P67" s="66"/>
    </row>
    <row r="68" spans="2:16" s="68" customFormat="1" ht="13.5" customHeight="1" x14ac:dyDescent="0.25">
      <c r="B68" s="7" t="s">
        <v>36</v>
      </c>
      <c r="C68" s="65">
        <v>5213.7220077625898</v>
      </c>
      <c r="D68" s="65"/>
      <c r="E68" s="65">
        <v>868.84899999999993</v>
      </c>
      <c r="F68" s="65">
        <v>724.0859999999999</v>
      </c>
      <c r="G68" s="65">
        <v>144.76300000000001</v>
      </c>
      <c r="H68" s="65"/>
      <c r="I68" s="65">
        <v>906.38300776259007</v>
      </c>
      <c r="J68" s="33">
        <v>150.17699816359999</v>
      </c>
      <c r="K68" s="33">
        <v>756.20600959899002</v>
      </c>
      <c r="L68" s="35"/>
      <c r="M68" s="39">
        <v>3438.49</v>
      </c>
      <c r="N68" s="33">
        <v>0.09</v>
      </c>
      <c r="O68" s="33">
        <v>3438.3999999999996</v>
      </c>
      <c r="P68" s="66"/>
    </row>
    <row r="69" spans="2:16" s="68" customFormat="1" ht="13.5" customHeight="1" x14ac:dyDescent="0.25">
      <c r="B69" s="7" t="s">
        <v>37</v>
      </c>
      <c r="C69" s="65">
        <v>2520.0643842583404</v>
      </c>
      <c r="D69" s="65"/>
      <c r="E69" s="65">
        <v>636.60700000000008</v>
      </c>
      <c r="F69" s="65">
        <v>470.86000000000007</v>
      </c>
      <c r="G69" s="65">
        <v>165.74700000000001</v>
      </c>
      <c r="H69" s="65"/>
      <c r="I69" s="65">
        <v>502.86738425834</v>
      </c>
      <c r="J69" s="33">
        <v>85.002461554139998</v>
      </c>
      <c r="K69" s="33">
        <v>417.86492270420001</v>
      </c>
      <c r="L69" s="35"/>
      <c r="M69" s="39">
        <v>1380.5900000000001</v>
      </c>
      <c r="N69" s="33">
        <v>151.54999999999995</v>
      </c>
      <c r="O69" s="33">
        <v>1229.0400000000002</v>
      </c>
      <c r="P69" s="66"/>
    </row>
    <row r="70" spans="2:16" s="68" customFormat="1" ht="13.5" customHeight="1" x14ac:dyDescent="0.25">
      <c r="B70" s="7" t="s">
        <v>38</v>
      </c>
      <c r="C70" s="65">
        <v>939.73723037432012</v>
      </c>
      <c r="D70" s="65"/>
      <c r="E70" s="65">
        <v>138.14599999999999</v>
      </c>
      <c r="F70" s="65">
        <v>138.14599999999999</v>
      </c>
      <c r="G70" s="65">
        <v>0</v>
      </c>
      <c r="H70" s="65"/>
      <c r="I70" s="65">
        <v>285.27123037432</v>
      </c>
      <c r="J70" s="33">
        <v>69.509</v>
      </c>
      <c r="K70" s="33">
        <v>215.76223037431998</v>
      </c>
      <c r="L70" s="35"/>
      <c r="M70" s="39">
        <v>516.32000000000016</v>
      </c>
      <c r="N70" s="33">
        <v>9.33</v>
      </c>
      <c r="O70" s="33">
        <v>506.99000000000012</v>
      </c>
      <c r="P70" s="66"/>
    </row>
    <row r="71" spans="2:16" s="68" customFormat="1" ht="13.5" customHeight="1" thickBot="1" x14ac:dyDescent="0.3">
      <c r="B71" s="13" t="s">
        <v>39</v>
      </c>
      <c r="C71" s="42">
        <v>1925.9009998092697</v>
      </c>
      <c r="D71" s="42"/>
      <c r="E71" s="42">
        <v>314.43200000000007</v>
      </c>
      <c r="F71" s="42">
        <v>221.09500000000006</v>
      </c>
      <c r="G71" s="42">
        <v>93.337000000000003</v>
      </c>
      <c r="H71" s="42"/>
      <c r="I71" s="42">
        <v>225.25899980926999</v>
      </c>
      <c r="J71" s="42">
        <v>0</v>
      </c>
      <c r="K71" s="42">
        <v>225.25899980926999</v>
      </c>
      <c r="L71" s="42"/>
      <c r="M71" s="42">
        <v>1386.2099999999996</v>
      </c>
      <c r="N71" s="42">
        <v>10.339999999999998</v>
      </c>
      <c r="O71" s="42">
        <v>1375.8699999999997</v>
      </c>
      <c r="P71" s="66"/>
    </row>
    <row r="72" spans="2:16" s="44" customFormat="1" ht="35.25" customHeight="1" x14ac:dyDescent="0.25">
      <c r="B72" s="162" t="s">
        <v>60</v>
      </c>
      <c r="C72" s="162"/>
      <c r="D72" s="162"/>
      <c r="E72" s="162"/>
      <c r="F72" s="162"/>
      <c r="G72" s="162"/>
      <c r="H72" s="162"/>
      <c r="I72" s="162"/>
      <c r="J72" s="162"/>
      <c r="K72" s="162"/>
      <c r="L72" s="162"/>
      <c r="M72" s="162"/>
      <c r="N72" s="162"/>
      <c r="O72" s="162"/>
    </row>
    <row r="73" spans="2:16" s="44" customFormat="1" ht="15" customHeight="1" x14ac:dyDescent="0.25">
      <c r="B73" s="58" t="s">
        <v>55</v>
      </c>
    </row>
    <row r="74" spans="2:16" s="44" customFormat="1" ht="11.25" customHeight="1" x14ac:dyDescent="0.25">
      <c r="B74" s="15" t="s">
        <v>68</v>
      </c>
    </row>
    <row r="75" spans="2:16" s="44" customFormat="1" ht="13.5" x14ac:dyDescent="0.25">
      <c r="B75" s="16" t="s">
        <v>43</v>
      </c>
    </row>
  </sheetData>
  <mergeCells count="17">
    <mergeCell ref="B72:O72"/>
    <mergeCell ref="B44:B45"/>
    <mergeCell ref="C44:C45"/>
    <mergeCell ref="E44:G44"/>
    <mergeCell ref="I44:K44"/>
    <mergeCell ref="M44:O44"/>
    <mergeCell ref="B6:O6"/>
    <mergeCell ref="B3:O3"/>
    <mergeCell ref="B4:O4"/>
    <mergeCell ref="B41:O41"/>
    <mergeCell ref="B35:O35"/>
    <mergeCell ref="B40:O40"/>
    <mergeCell ref="B7:B8"/>
    <mergeCell ref="C7:C8"/>
    <mergeCell ref="E7:G7"/>
    <mergeCell ref="I7:K7"/>
    <mergeCell ref="M7:O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75"/>
  <sheetViews>
    <sheetView topLeftCell="A29" zoomScale="70" zoomScaleNormal="70" workbookViewId="0">
      <selection activeCell="J75" sqref="J75"/>
    </sheetView>
  </sheetViews>
  <sheetFormatPr baseColWidth="10" defaultColWidth="11.42578125" defaultRowHeight="16.5" x14ac:dyDescent="0.3"/>
  <cols>
    <col min="1" max="1" width="11.42578125" style="1"/>
    <col min="2" max="2" width="16.85546875" style="1" customWidth="1"/>
    <col min="3" max="3" width="12.42578125" style="1" customWidth="1"/>
    <col min="4" max="4" width="3.28515625" style="1" customWidth="1"/>
    <col min="5" max="5" width="10.42578125" style="1" bestFit="1" customWidth="1"/>
    <col min="6" max="6" width="10.140625" style="1" bestFit="1" customWidth="1"/>
    <col min="7" max="7" width="11.7109375" style="1" bestFit="1" customWidth="1"/>
    <col min="8" max="8" width="5.42578125" style="1" customWidth="1"/>
    <col min="9" max="9" width="10.42578125" style="1" bestFit="1" customWidth="1"/>
    <col min="10" max="10" width="11.7109375" style="1" bestFit="1" customWidth="1"/>
    <col min="11" max="11" width="15" style="1" bestFit="1" customWidth="1"/>
    <col min="12" max="12" width="8.28515625" style="1" customWidth="1"/>
    <col min="13" max="13" width="11.42578125" style="1" bestFit="1" customWidth="1"/>
    <col min="14" max="14" width="8.28515625" style="1" customWidth="1"/>
    <col min="15" max="15" width="15" style="1" bestFit="1" customWidth="1"/>
    <col min="16" max="16" width="7.42578125" style="1" customWidth="1"/>
    <col min="17" max="16384" width="11.42578125" style="1"/>
  </cols>
  <sheetData>
    <row r="2" spans="2:15" ht="30.75" customHeight="1" x14ac:dyDescent="0.3">
      <c r="B2" s="156"/>
      <c r="C2" s="156"/>
      <c r="D2" s="156"/>
      <c r="E2" s="156"/>
      <c r="F2" s="156"/>
      <c r="G2" s="156"/>
      <c r="H2" s="156"/>
      <c r="I2" s="156"/>
      <c r="J2" s="156"/>
      <c r="K2" s="156"/>
      <c r="L2" s="156"/>
      <c r="M2" s="156"/>
      <c r="N2" s="156"/>
      <c r="O2" s="156"/>
    </row>
    <row r="3" spans="2:15" ht="30.75" customHeight="1" x14ac:dyDescent="0.3">
      <c r="B3" s="145" t="s">
        <v>136</v>
      </c>
      <c r="C3" s="145"/>
      <c r="D3" s="145"/>
      <c r="E3" s="145"/>
      <c r="F3" s="145"/>
      <c r="G3" s="145"/>
      <c r="H3" s="145"/>
      <c r="I3" s="145"/>
      <c r="J3" s="145"/>
      <c r="K3" s="145"/>
      <c r="L3" s="145"/>
      <c r="M3" s="145"/>
      <c r="N3" s="145"/>
      <c r="O3" s="145"/>
    </row>
    <row r="4" spans="2:15" x14ac:dyDescent="0.3">
      <c r="B4" s="157" t="s">
        <v>69</v>
      </c>
      <c r="C4" s="157"/>
      <c r="D4" s="157"/>
      <c r="E4" s="157"/>
      <c r="F4" s="157"/>
      <c r="G4" s="157"/>
      <c r="H4" s="157"/>
      <c r="I4" s="157"/>
      <c r="J4" s="157"/>
      <c r="K4" s="157"/>
      <c r="L4" s="157"/>
      <c r="M4" s="157"/>
      <c r="N4" s="157"/>
      <c r="O4" s="157"/>
    </row>
    <row r="6" spans="2:15" ht="17.25" customHeight="1" thickBot="1" x14ac:dyDescent="0.35">
      <c r="B6" s="158" t="s">
        <v>2</v>
      </c>
      <c r="C6" s="158"/>
      <c r="D6" s="158"/>
      <c r="E6" s="158"/>
      <c r="F6" s="158"/>
      <c r="G6" s="158"/>
      <c r="H6" s="158"/>
      <c r="I6" s="158"/>
      <c r="J6" s="158"/>
      <c r="K6" s="158"/>
      <c r="L6" s="158"/>
      <c r="M6" s="158"/>
      <c r="N6" s="158"/>
      <c r="O6" s="158"/>
    </row>
    <row r="7" spans="2:15" ht="16.5" customHeight="1" x14ac:dyDescent="0.3">
      <c r="B7" s="147" t="s">
        <v>3</v>
      </c>
      <c r="C7" s="149" t="s">
        <v>4</v>
      </c>
      <c r="D7" s="54"/>
      <c r="E7" s="147" t="s">
        <v>5</v>
      </c>
      <c r="F7" s="147"/>
      <c r="G7" s="147"/>
      <c r="H7" s="3"/>
      <c r="I7" s="147" t="s">
        <v>6</v>
      </c>
      <c r="J7" s="147"/>
      <c r="K7" s="147"/>
      <c r="L7" s="3"/>
      <c r="M7" s="147" t="s">
        <v>7</v>
      </c>
      <c r="N7" s="147"/>
      <c r="O7" s="147"/>
    </row>
    <row r="8" spans="2:15" ht="26.25" thickBot="1" x14ac:dyDescent="0.35">
      <c r="B8" s="148"/>
      <c r="C8" s="150"/>
      <c r="D8" s="5"/>
      <c r="E8" s="4" t="s">
        <v>8</v>
      </c>
      <c r="F8" s="4" t="s">
        <v>9</v>
      </c>
      <c r="G8" s="4" t="s">
        <v>10</v>
      </c>
      <c r="H8" s="5"/>
      <c r="I8" s="4" t="s">
        <v>11</v>
      </c>
      <c r="J8" s="4" t="s">
        <v>12</v>
      </c>
      <c r="K8" s="4" t="s">
        <v>10</v>
      </c>
      <c r="L8" s="5"/>
      <c r="M8" s="4" t="s">
        <v>11</v>
      </c>
      <c r="N8" s="4" t="s">
        <v>12</v>
      </c>
      <c r="O8" s="4" t="s">
        <v>10</v>
      </c>
    </row>
    <row r="9" spans="2:15" x14ac:dyDescent="0.3">
      <c r="B9" s="55" t="s">
        <v>13</v>
      </c>
      <c r="C9" s="29">
        <v>165710.95873175142</v>
      </c>
      <c r="D9" s="29"/>
      <c r="E9" s="29">
        <v>26701.941799999997</v>
      </c>
      <c r="F9" s="29">
        <v>19559.355800000001</v>
      </c>
      <c r="G9" s="29">
        <v>7142.5860000000011</v>
      </c>
      <c r="H9" s="29"/>
      <c r="I9" s="29">
        <v>24392.308444429767</v>
      </c>
      <c r="J9" s="29">
        <v>3672.9284292085235</v>
      </c>
      <c r="K9" s="29">
        <v>20719.380015221253</v>
      </c>
      <c r="L9" s="29"/>
      <c r="M9" s="29">
        <v>114616.70848732165</v>
      </c>
      <c r="N9" s="29">
        <v>1898.2654113377321</v>
      </c>
      <c r="O9" s="29">
        <v>112718.44307598389</v>
      </c>
    </row>
    <row r="10" spans="2:15" x14ac:dyDescent="0.3">
      <c r="B10" s="11" t="s">
        <v>14</v>
      </c>
      <c r="C10" s="12">
        <v>3315.3599238075494</v>
      </c>
      <c r="D10" s="12"/>
      <c r="E10" s="12">
        <v>846.20100000000025</v>
      </c>
      <c r="F10" s="12">
        <v>846.20100000000025</v>
      </c>
      <c r="G10" s="12">
        <v>0</v>
      </c>
      <c r="H10" s="36"/>
      <c r="I10" s="12">
        <v>726.84099999999989</v>
      </c>
      <c r="J10" s="12">
        <v>31.281000000000002</v>
      </c>
      <c r="K10" s="12">
        <v>695.56</v>
      </c>
      <c r="L10" s="36"/>
      <c r="M10" s="12">
        <v>1742.3179238075495</v>
      </c>
      <c r="N10" s="12">
        <v>0</v>
      </c>
      <c r="O10" s="12">
        <v>1742.3179238075495</v>
      </c>
    </row>
    <row r="11" spans="2:15" x14ac:dyDescent="0.3">
      <c r="B11" s="7" t="s">
        <v>15</v>
      </c>
      <c r="C11" s="12">
        <v>10865.550494828136</v>
      </c>
      <c r="D11" s="12"/>
      <c r="E11" s="12">
        <v>1930.1608000000003</v>
      </c>
      <c r="F11" s="12">
        <v>1224.4328000000003</v>
      </c>
      <c r="G11" s="12">
        <v>705.72800000000007</v>
      </c>
      <c r="H11" s="36"/>
      <c r="I11" s="12">
        <v>1218.7946708970592</v>
      </c>
      <c r="J11" s="12">
        <v>482.76159050000001</v>
      </c>
      <c r="K11" s="12">
        <v>736.03308039705917</v>
      </c>
      <c r="L11" s="36"/>
      <c r="M11" s="12">
        <v>7716.595023931076</v>
      </c>
      <c r="N11" s="12">
        <v>115.68</v>
      </c>
      <c r="O11" s="12">
        <v>7600.9150239310757</v>
      </c>
    </row>
    <row r="12" spans="2:15" x14ac:dyDescent="0.3">
      <c r="B12" s="7" t="s">
        <v>16</v>
      </c>
      <c r="C12" s="12">
        <v>7491.7181579919989</v>
      </c>
      <c r="D12" s="12"/>
      <c r="E12" s="12">
        <v>1157.0910000000003</v>
      </c>
      <c r="F12" s="12">
        <v>700.21700000000021</v>
      </c>
      <c r="G12" s="12">
        <v>456.87400000000008</v>
      </c>
      <c r="H12" s="36"/>
      <c r="I12" s="12">
        <v>1328.0371579919999</v>
      </c>
      <c r="J12" s="12">
        <v>9.3915100000000002</v>
      </c>
      <c r="K12" s="12">
        <v>1318.645647992</v>
      </c>
      <c r="L12" s="36"/>
      <c r="M12" s="12">
        <v>5006.5899999999983</v>
      </c>
      <c r="N12" s="12">
        <v>7.27</v>
      </c>
      <c r="O12" s="12">
        <v>4999.3199999999979</v>
      </c>
    </row>
    <row r="13" spans="2:15" x14ac:dyDescent="0.3">
      <c r="B13" s="7" t="s">
        <v>17</v>
      </c>
      <c r="C13" s="12">
        <v>9373.0237582358041</v>
      </c>
      <c r="D13" s="12"/>
      <c r="E13" s="12">
        <v>1498.2120000000002</v>
      </c>
      <c r="F13" s="12">
        <v>1221.2730000000001</v>
      </c>
      <c r="G13" s="12">
        <v>276.93900000000002</v>
      </c>
      <c r="H13" s="36"/>
      <c r="I13" s="12">
        <v>1739.1197476915484</v>
      </c>
      <c r="J13" s="12">
        <v>568.16906351834814</v>
      </c>
      <c r="K13" s="12">
        <v>1170.9506841732002</v>
      </c>
      <c r="L13" s="36"/>
      <c r="M13" s="12">
        <v>6135.692010544255</v>
      </c>
      <c r="N13" s="12">
        <v>402.41999993323998</v>
      </c>
      <c r="O13" s="12">
        <v>5733.2720106110155</v>
      </c>
    </row>
    <row r="14" spans="2:15" x14ac:dyDescent="0.3">
      <c r="B14" s="7" t="s">
        <v>18</v>
      </c>
      <c r="C14" s="12">
        <v>12346.250454798239</v>
      </c>
      <c r="D14" s="12"/>
      <c r="E14" s="12">
        <v>1802.3320000000003</v>
      </c>
      <c r="F14" s="12">
        <v>1643.7300000000002</v>
      </c>
      <c r="G14" s="12">
        <v>158.602</v>
      </c>
      <c r="H14" s="36"/>
      <c r="I14" s="12">
        <v>1857.9384074057095</v>
      </c>
      <c r="J14" s="12">
        <v>268.43383433609006</v>
      </c>
      <c r="K14" s="12">
        <v>1589.5045730696195</v>
      </c>
      <c r="L14" s="36"/>
      <c r="M14" s="12">
        <v>8685.9800473925279</v>
      </c>
      <c r="N14" s="12">
        <v>18.939999999999998</v>
      </c>
      <c r="O14" s="12">
        <v>8667.0400473925274</v>
      </c>
    </row>
    <row r="15" spans="2:15" x14ac:dyDescent="0.3">
      <c r="B15" s="7" t="s">
        <v>19</v>
      </c>
      <c r="C15" s="12">
        <v>14742.16407551625</v>
      </c>
      <c r="D15" s="12"/>
      <c r="E15" s="12">
        <v>1751.8999999999994</v>
      </c>
      <c r="F15" s="12">
        <v>1412.0659999999993</v>
      </c>
      <c r="G15" s="12">
        <v>339.83400000000006</v>
      </c>
      <c r="H15" s="36"/>
      <c r="I15" s="12">
        <v>855.68516626456017</v>
      </c>
      <c r="J15" s="12">
        <v>31.779000404580003</v>
      </c>
      <c r="K15" s="12">
        <v>823.90616585998021</v>
      </c>
      <c r="L15" s="36"/>
      <c r="M15" s="12">
        <v>12134.57890925169</v>
      </c>
      <c r="N15" s="12">
        <v>41.009999999999984</v>
      </c>
      <c r="O15" s="12">
        <v>12093.56890925169</v>
      </c>
    </row>
    <row r="16" spans="2:15" x14ac:dyDescent="0.3">
      <c r="B16" s="7" t="s">
        <v>20</v>
      </c>
      <c r="C16" s="12">
        <v>41.436999999999998</v>
      </c>
      <c r="D16" s="12"/>
      <c r="E16" s="12">
        <v>41.436999999999998</v>
      </c>
      <c r="F16" s="12">
        <v>37.786999999999999</v>
      </c>
      <c r="G16" s="12">
        <v>3.65</v>
      </c>
      <c r="H16" s="36"/>
      <c r="I16" s="12">
        <v>0</v>
      </c>
      <c r="J16" s="12">
        <v>0</v>
      </c>
      <c r="K16" s="12">
        <v>0</v>
      </c>
      <c r="L16" s="36"/>
      <c r="M16" s="12">
        <v>0</v>
      </c>
      <c r="N16" s="12">
        <v>0</v>
      </c>
      <c r="O16" s="12">
        <v>0</v>
      </c>
    </row>
    <row r="17" spans="2:15" x14ac:dyDescent="0.3">
      <c r="B17" s="7" t="s">
        <v>21</v>
      </c>
      <c r="C17" s="12">
        <v>15472.647687582661</v>
      </c>
      <c r="D17" s="12"/>
      <c r="E17" s="12">
        <v>1818.7509999999997</v>
      </c>
      <c r="F17" s="12">
        <v>1440.7359999999996</v>
      </c>
      <c r="G17" s="12">
        <v>378.0150000000001</v>
      </c>
      <c r="H17" s="36"/>
      <c r="I17" s="12">
        <v>2737.6977204739806</v>
      </c>
      <c r="J17" s="12">
        <v>564.09331958801022</v>
      </c>
      <c r="K17" s="12">
        <v>2173.6044008859703</v>
      </c>
      <c r="L17" s="36"/>
      <c r="M17" s="12">
        <v>10916.198967108681</v>
      </c>
      <c r="N17" s="12">
        <v>120.48999999999998</v>
      </c>
      <c r="O17" s="12">
        <v>10795.708967108681</v>
      </c>
    </row>
    <row r="18" spans="2:15" x14ac:dyDescent="0.3">
      <c r="B18" s="7" t="s">
        <v>22</v>
      </c>
      <c r="C18" s="12">
        <v>8026.0367347449201</v>
      </c>
      <c r="D18" s="12"/>
      <c r="E18" s="12">
        <v>1404.0639999999999</v>
      </c>
      <c r="F18" s="12">
        <v>948.67699999999991</v>
      </c>
      <c r="G18" s="12">
        <v>455.38700000000006</v>
      </c>
      <c r="H18" s="36"/>
      <c r="I18" s="12">
        <v>1408.2661903503999</v>
      </c>
      <c r="J18" s="12">
        <v>21.2971</v>
      </c>
      <c r="K18" s="12">
        <v>1386.9690903503999</v>
      </c>
      <c r="L18" s="36"/>
      <c r="M18" s="12">
        <v>5213.7065443945203</v>
      </c>
      <c r="N18" s="12">
        <v>0.66</v>
      </c>
      <c r="O18" s="12">
        <v>5213.0465443945204</v>
      </c>
    </row>
    <row r="19" spans="2:15" x14ac:dyDescent="0.3">
      <c r="B19" s="7" t="s">
        <v>23</v>
      </c>
      <c r="C19" s="12">
        <v>7728.1979171473085</v>
      </c>
      <c r="D19" s="12"/>
      <c r="E19" s="12">
        <v>1284.3620000000001</v>
      </c>
      <c r="F19" s="12">
        <v>552.12000000000012</v>
      </c>
      <c r="G19" s="12">
        <v>732.24200000000008</v>
      </c>
      <c r="H19" s="36"/>
      <c r="I19" s="12">
        <v>711.72971944971005</v>
      </c>
      <c r="J19" s="12">
        <v>15.984176000000001</v>
      </c>
      <c r="K19" s="12">
        <v>695.74554344971</v>
      </c>
      <c r="L19" s="36"/>
      <c r="M19" s="12">
        <v>5732.1061976975989</v>
      </c>
      <c r="N19" s="12">
        <v>4.2</v>
      </c>
      <c r="O19" s="12">
        <v>5727.9061976975991</v>
      </c>
    </row>
    <row r="20" spans="2:15" x14ac:dyDescent="0.3">
      <c r="B20" s="7" t="s">
        <v>24</v>
      </c>
      <c r="C20" s="12">
        <v>3493.9312519815508</v>
      </c>
      <c r="D20" s="12"/>
      <c r="E20" s="12">
        <v>697.77600000000018</v>
      </c>
      <c r="F20" s="12">
        <v>680.61900000000014</v>
      </c>
      <c r="G20" s="12">
        <v>17.157</v>
      </c>
      <c r="H20" s="36"/>
      <c r="I20" s="12">
        <v>743.91369922210015</v>
      </c>
      <c r="J20" s="12">
        <v>48.940999999999995</v>
      </c>
      <c r="K20" s="12">
        <v>694.97269922210012</v>
      </c>
      <c r="L20" s="36"/>
      <c r="M20" s="12">
        <v>2052.2415527594503</v>
      </c>
      <c r="N20" s="12">
        <v>82.019999999999982</v>
      </c>
      <c r="O20" s="12">
        <v>1970.2215527594506</v>
      </c>
    </row>
    <row r="21" spans="2:15" x14ac:dyDescent="0.3">
      <c r="B21" s="7" t="s">
        <v>25</v>
      </c>
      <c r="C21" s="12">
        <v>11881.440697335009</v>
      </c>
      <c r="D21" s="12"/>
      <c r="E21" s="12">
        <v>1688.8100000000002</v>
      </c>
      <c r="F21" s="12">
        <v>978.2750000000002</v>
      </c>
      <c r="G21" s="12">
        <v>710.53499999999997</v>
      </c>
      <c r="H21" s="36"/>
      <c r="I21" s="12">
        <v>833.70869733500012</v>
      </c>
      <c r="J21" s="12">
        <v>67.679109999999994</v>
      </c>
      <c r="K21" s="12">
        <v>766.02958733500009</v>
      </c>
      <c r="L21" s="36"/>
      <c r="M21" s="12">
        <v>9358.9220000000078</v>
      </c>
      <c r="N21" s="12">
        <v>219.49199999999996</v>
      </c>
      <c r="O21" s="12">
        <v>9139.4300000000076</v>
      </c>
    </row>
    <row r="22" spans="2:15" x14ac:dyDescent="0.3">
      <c r="B22" s="7" t="s">
        <v>26</v>
      </c>
      <c r="C22" s="12">
        <v>8749.714916769135</v>
      </c>
      <c r="D22" s="12"/>
      <c r="E22" s="12">
        <v>1298.7860000000001</v>
      </c>
      <c r="F22" s="12">
        <v>642.29600000000005</v>
      </c>
      <c r="G22" s="12">
        <v>656.49</v>
      </c>
      <c r="H22" s="36"/>
      <c r="I22" s="12">
        <v>1766.4111272162661</v>
      </c>
      <c r="J22" s="12">
        <v>92.015232999999995</v>
      </c>
      <c r="K22" s="12">
        <v>1674.395894216266</v>
      </c>
      <c r="L22" s="36"/>
      <c r="M22" s="12">
        <v>5684.5177895528695</v>
      </c>
      <c r="N22" s="12">
        <v>155.23000000000005</v>
      </c>
      <c r="O22" s="12">
        <v>5529.2877895528691</v>
      </c>
    </row>
    <row r="23" spans="2:15" x14ac:dyDescent="0.3">
      <c r="B23" s="7" t="s">
        <v>27</v>
      </c>
      <c r="C23" s="12">
        <v>3186.8360002139598</v>
      </c>
      <c r="D23" s="12"/>
      <c r="E23" s="12">
        <v>469.04899999999992</v>
      </c>
      <c r="F23" s="12">
        <v>450.82099999999991</v>
      </c>
      <c r="G23" s="12">
        <v>18.228000000000002</v>
      </c>
      <c r="H23" s="36"/>
      <c r="I23" s="12">
        <v>663.05700021396012</v>
      </c>
      <c r="J23" s="12">
        <v>213.75100000000006</v>
      </c>
      <c r="K23" s="12">
        <v>449.30600021396003</v>
      </c>
      <c r="L23" s="36"/>
      <c r="M23" s="12">
        <v>2054.73</v>
      </c>
      <c r="N23" s="12">
        <v>27.549999999999997</v>
      </c>
      <c r="O23" s="12">
        <v>2027.1799999999998</v>
      </c>
    </row>
    <row r="24" spans="2:15" x14ac:dyDescent="0.3">
      <c r="B24" s="7" t="s">
        <v>28</v>
      </c>
      <c r="C24" s="12">
        <v>7564.3788235748734</v>
      </c>
      <c r="D24" s="12"/>
      <c r="E24" s="12">
        <v>1713.5539999999999</v>
      </c>
      <c r="F24" s="12">
        <v>1147.749</v>
      </c>
      <c r="G24" s="12">
        <v>565.80499999999984</v>
      </c>
      <c r="H24" s="36"/>
      <c r="I24" s="12">
        <v>1557.6160038173477</v>
      </c>
      <c r="J24" s="12">
        <v>165.52225082134805</v>
      </c>
      <c r="K24" s="12">
        <v>1392.0937529959997</v>
      </c>
      <c r="L24" s="36"/>
      <c r="M24" s="12">
        <v>4293.2088197575258</v>
      </c>
      <c r="N24" s="12">
        <v>172.48</v>
      </c>
      <c r="O24" s="12">
        <v>4120.7288197575263</v>
      </c>
    </row>
    <row r="25" spans="2:15" x14ac:dyDescent="0.3">
      <c r="B25" s="7" t="s">
        <v>29</v>
      </c>
      <c r="C25" s="12">
        <v>831.24722999999994</v>
      </c>
      <c r="D25" s="12"/>
      <c r="E25" s="12">
        <v>128.92700000000002</v>
      </c>
      <c r="F25" s="12">
        <v>93.580000000000013</v>
      </c>
      <c r="G25" s="12">
        <v>35.347000000000001</v>
      </c>
      <c r="H25" s="36"/>
      <c r="I25" s="12">
        <v>283.27022999999997</v>
      </c>
      <c r="J25" s="12">
        <v>102.41299999999998</v>
      </c>
      <c r="K25" s="12">
        <v>180.85722999999999</v>
      </c>
      <c r="L25" s="36"/>
      <c r="M25" s="12">
        <v>419.05</v>
      </c>
      <c r="N25" s="12">
        <v>19.079999999999998</v>
      </c>
      <c r="O25" s="12">
        <v>399.97</v>
      </c>
    </row>
    <row r="26" spans="2:15" x14ac:dyDescent="0.3">
      <c r="B26" s="7" t="s">
        <v>30</v>
      </c>
      <c r="C26" s="12">
        <v>1986.9160490383006</v>
      </c>
      <c r="D26" s="12"/>
      <c r="E26" s="12">
        <v>399.27600000000001</v>
      </c>
      <c r="F26" s="12">
        <v>399.27600000000001</v>
      </c>
      <c r="G26" s="12">
        <v>0</v>
      </c>
      <c r="H26" s="36"/>
      <c r="I26" s="12">
        <v>203.14000000000001</v>
      </c>
      <c r="J26" s="12">
        <v>3.673</v>
      </c>
      <c r="K26" s="12">
        <v>199.46700000000001</v>
      </c>
      <c r="L26" s="36"/>
      <c r="M26" s="12">
        <v>1384.5000490383006</v>
      </c>
      <c r="N26" s="12">
        <v>5.07</v>
      </c>
      <c r="O26" s="12">
        <v>1379.4300490383007</v>
      </c>
    </row>
    <row r="27" spans="2:15" x14ac:dyDescent="0.3">
      <c r="B27" s="7" t="s">
        <v>31</v>
      </c>
      <c r="C27" s="12">
        <v>2640.017096369811</v>
      </c>
      <c r="D27" s="12"/>
      <c r="E27" s="12">
        <v>469.24500000000023</v>
      </c>
      <c r="F27" s="12">
        <v>469.24500000000023</v>
      </c>
      <c r="G27" s="12">
        <v>0</v>
      </c>
      <c r="H27" s="36"/>
      <c r="I27" s="12">
        <v>908.93209636981123</v>
      </c>
      <c r="J27" s="12">
        <v>78.433623245210995</v>
      </c>
      <c r="K27" s="12">
        <v>830.4984731246002</v>
      </c>
      <c r="L27" s="36"/>
      <c r="M27" s="12">
        <v>1261.8399999999999</v>
      </c>
      <c r="N27" s="12">
        <v>98.219999999999985</v>
      </c>
      <c r="O27" s="12">
        <v>1163.6199999999999</v>
      </c>
    </row>
    <row r="28" spans="2:15" x14ac:dyDescent="0.3">
      <c r="B28" s="7" t="s">
        <v>32</v>
      </c>
      <c r="C28" s="12">
        <v>3329.8682586628302</v>
      </c>
      <c r="D28" s="12"/>
      <c r="E28" s="12">
        <v>594.09899999999993</v>
      </c>
      <c r="F28" s="12">
        <v>273.11899999999991</v>
      </c>
      <c r="G28" s="12">
        <v>320.98</v>
      </c>
      <c r="H28" s="36"/>
      <c r="I28" s="12">
        <v>621.56677345998992</v>
      </c>
      <c r="J28" s="12">
        <v>34.434956</v>
      </c>
      <c r="K28" s="12">
        <v>587.13181745998997</v>
      </c>
      <c r="L28" s="36"/>
      <c r="M28" s="12">
        <v>2114.2024852028403</v>
      </c>
      <c r="N28" s="12">
        <v>0</v>
      </c>
      <c r="O28" s="12">
        <v>2114.2024852028403</v>
      </c>
    </row>
    <row r="29" spans="2:15" x14ac:dyDescent="0.3">
      <c r="B29" s="7" t="s">
        <v>34</v>
      </c>
      <c r="C29" s="12">
        <v>8949.787973668379</v>
      </c>
      <c r="D29" s="12"/>
      <c r="E29" s="12">
        <v>1735.2469999999998</v>
      </c>
      <c r="F29" s="12">
        <v>1398.665</v>
      </c>
      <c r="G29" s="12">
        <v>336.58199999999999</v>
      </c>
      <c r="H29" s="36"/>
      <c r="I29" s="12">
        <v>584.09500233989593</v>
      </c>
      <c r="J29" s="12">
        <v>167.47800208219601</v>
      </c>
      <c r="K29" s="12">
        <v>416.61700025769994</v>
      </c>
      <c r="L29" s="36"/>
      <c r="M29" s="12">
        <v>6630.4459713284832</v>
      </c>
      <c r="N29" s="12">
        <v>170.89999999999992</v>
      </c>
      <c r="O29" s="12">
        <v>6459.5459713284836</v>
      </c>
    </row>
    <row r="30" spans="2:15" x14ac:dyDescent="0.3">
      <c r="B30" s="7" t="s">
        <v>35</v>
      </c>
      <c r="C30" s="12">
        <v>13096.990606979889</v>
      </c>
      <c r="D30" s="12"/>
      <c r="E30" s="12">
        <v>2014.6279999999992</v>
      </c>
      <c r="F30" s="12">
        <v>1444.2839999999994</v>
      </c>
      <c r="G30" s="12">
        <v>570.34399999999994</v>
      </c>
      <c r="H30" s="36"/>
      <c r="I30" s="12">
        <v>1724.6784114256197</v>
      </c>
      <c r="J30" s="12">
        <v>389.51519999499999</v>
      </c>
      <c r="K30" s="12">
        <v>1335.1632114306196</v>
      </c>
      <c r="L30" s="36"/>
      <c r="M30" s="12">
        <v>9357.6841955542695</v>
      </c>
      <c r="N30" s="12">
        <v>66.24341140449242</v>
      </c>
      <c r="O30" s="12">
        <v>9291.4407841497778</v>
      </c>
    </row>
    <row r="31" spans="2:15" x14ac:dyDescent="0.3">
      <c r="B31" s="7" t="s">
        <v>36</v>
      </c>
      <c r="C31" s="12">
        <v>5224.9050077625898</v>
      </c>
      <c r="D31" s="12"/>
      <c r="E31" s="12">
        <v>868.84899999999993</v>
      </c>
      <c r="F31" s="12">
        <v>724.08600000000001</v>
      </c>
      <c r="G31" s="12">
        <v>144.76299999999998</v>
      </c>
      <c r="H31" s="36"/>
      <c r="I31" s="12">
        <v>917.57600776259005</v>
      </c>
      <c r="J31" s="12">
        <v>161.3699981636</v>
      </c>
      <c r="K31" s="12">
        <v>756.20600959899002</v>
      </c>
      <c r="L31" s="36"/>
      <c r="M31" s="12">
        <v>3438.4799999999996</v>
      </c>
      <c r="N31" s="12">
        <v>0.09</v>
      </c>
      <c r="O31" s="12">
        <v>3438.3899999999994</v>
      </c>
    </row>
    <row r="32" spans="2:15" x14ac:dyDescent="0.3">
      <c r="B32" s="7" t="s">
        <v>37</v>
      </c>
      <c r="C32" s="12">
        <v>2506.9003845579405</v>
      </c>
      <c r="D32" s="12"/>
      <c r="E32" s="12">
        <v>636.6070000000002</v>
      </c>
      <c r="F32" s="12">
        <v>470.86000000000013</v>
      </c>
      <c r="G32" s="12">
        <v>165.74700000000001</v>
      </c>
      <c r="H32" s="36"/>
      <c r="I32" s="12">
        <v>489.70338455793996</v>
      </c>
      <c r="J32" s="12">
        <v>85.002461554139998</v>
      </c>
      <c r="K32" s="12">
        <v>404.70092300379997</v>
      </c>
      <c r="L32" s="36"/>
      <c r="M32" s="12">
        <v>1380.5900000000004</v>
      </c>
      <c r="N32" s="12">
        <v>151.54999999999995</v>
      </c>
      <c r="O32" s="12">
        <v>1229.0400000000004</v>
      </c>
    </row>
    <row r="33" spans="2:15" x14ac:dyDescent="0.3">
      <c r="B33" s="7" t="s">
        <v>38</v>
      </c>
      <c r="C33" s="12">
        <v>939.73723037502009</v>
      </c>
      <c r="D33" s="12"/>
      <c r="E33" s="12">
        <v>138.14599999999996</v>
      </c>
      <c r="F33" s="12">
        <v>138.14599999999996</v>
      </c>
      <c r="G33" s="12">
        <v>0</v>
      </c>
      <c r="H33" s="36"/>
      <c r="I33" s="12">
        <v>285.27123037502002</v>
      </c>
      <c r="J33" s="12">
        <v>69.509000000000015</v>
      </c>
      <c r="K33" s="12">
        <v>215.76223037502001</v>
      </c>
      <c r="L33" s="36"/>
      <c r="M33" s="12">
        <v>516.32000000000016</v>
      </c>
      <c r="N33" s="12">
        <v>9.33</v>
      </c>
      <c r="O33" s="12">
        <v>506.99000000000012</v>
      </c>
    </row>
    <row r="34" spans="2:15" ht="17.25" thickBot="1" x14ac:dyDescent="0.35">
      <c r="B34" s="13" t="s">
        <v>39</v>
      </c>
      <c r="C34" s="14">
        <v>1925.9009998092693</v>
      </c>
      <c r="D34" s="14"/>
      <c r="E34" s="14">
        <v>314.43200000000002</v>
      </c>
      <c r="F34" s="14">
        <v>221.09500000000003</v>
      </c>
      <c r="G34" s="14">
        <v>93.337000000000003</v>
      </c>
      <c r="H34" s="14"/>
      <c r="I34" s="14">
        <v>225.25899980926999</v>
      </c>
      <c r="J34" s="14">
        <v>0</v>
      </c>
      <c r="K34" s="14">
        <v>225.25899980926999</v>
      </c>
      <c r="L34" s="14"/>
      <c r="M34" s="14">
        <v>1386.2099999999994</v>
      </c>
      <c r="N34" s="14">
        <v>10.339999999999998</v>
      </c>
      <c r="O34" s="14">
        <v>1375.8699999999994</v>
      </c>
    </row>
    <row r="35" spans="2:15" ht="50.25" customHeight="1" x14ac:dyDescent="0.3">
      <c r="B35" s="162" t="s">
        <v>60</v>
      </c>
      <c r="C35" s="162"/>
      <c r="D35" s="162"/>
      <c r="E35" s="162"/>
      <c r="F35" s="162"/>
      <c r="G35" s="162"/>
      <c r="H35" s="162"/>
      <c r="I35" s="162"/>
      <c r="J35" s="162"/>
      <c r="K35" s="162"/>
      <c r="L35" s="162"/>
      <c r="M35" s="162"/>
      <c r="N35" s="162"/>
      <c r="O35" s="162"/>
    </row>
    <row r="36" spans="2:15" ht="16.5" customHeight="1" x14ac:dyDescent="0.3">
      <c r="B36" s="155" t="s">
        <v>70</v>
      </c>
      <c r="C36" s="155"/>
      <c r="D36" s="155"/>
      <c r="E36" s="155"/>
      <c r="F36" s="155"/>
      <c r="G36" s="155"/>
      <c r="H36" s="155"/>
      <c r="I36" s="155"/>
      <c r="J36" s="155"/>
      <c r="K36" s="155"/>
      <c r="L36" s="155"/>
      <c r="M36" s="155"/>
      <c r="N36" s="155"/>
      <c r="O36" s="155"/>
    </row>
    <row r="37" spans="2:15" ht="16.5" customHeight="1" x14ac:dyDescent="0.3">
      <c r="B37" s="15" t="s">
        <v>71</v>
      </c>
      <c r="C37" s="12"/>
      <c r="D37" s="12"/>
      <c r="E37" s="44"/>
      <c r="F37" s="12"/>
      <c r="G37" s="12"/>
      <c r="H37" s="44"/>
      <c r="I37" s="12"/>
      <c r="J37" s="12"/>
      <c r="K37" s="12"/>
      <c r="L37" s="44"/>
      <c r="M37" s="12"/>
      <c r="N37" s="12"/>
      <c r="O37" s="59"/>
    </row>
    <row r="38" spans="2:15" x14ac:dyDescent="0.3">
      <c r="B38" s="16" t="s">
        <v>43</v>
      </c>
      <c r="C38" s="44"/>
      <c r="D38" s="44"/>
      <c r="E38" s="44"/>
      <c r="F38" s="44"/>
      <c r="G38" s="44"/>
      <c r="H38" s="44"/>
      <c r="I38" s="44"/>
      <c r="J38" s="44"/>
      <c r="K38" s="44"/>
      <c r="L38" s="44"/>
      <c r="M38" s="44"/>
      <c r="N38" s="44"/>
    </row>
    <row r="39" spans="2:15" ht="16.5" customHeight="1" x14ac:dyDescent="0.3">
      <c r="B39" s="44"/>
      <c r="C39" s="44"/>
      <c r="D39" s="44"/>
      <c r="E39" s="44"/>
      <c r="F39" s="44"/>
      <c r="G39" s="44"/>
      <c r="H39" s="44"/>
      <c r="I39" s="44"/>
      <c r="J39" s="44"/>
      <c r="K39" s="44"/>
      <c r="L39" s="44"/>
      <c r="M39" s="44"/>
      <c r="N39" s="44"/>
    </row>
    <row r="40" spans="2:15" ht="16.5" customHeight="1" x14ac:dyDescent="0.3">
      <c r="B40" s="145" t="s">
        <v>218</v>
      </c>
      <c r="C40" s="145"/>
      <c r="D40" s="145"/>
      <c r="E40" s="145"/>
      <c r="F40" s="145"/>
      <c r="G40" s="145"/>
      <c r="H40" s="145"/>
      <c r="I40" s="145"/>
      <c r="J40" s="145"/>
      <c r="K40" s="145"/>
      <c r="L40" s="145"/>
      <c r="M40" s="145"/>
      <c r="N40" s="145"/>
      <c r="O40" s="145"/>
    </row>
    <row r="41" spans="2:15" x14ac:dyDescent="0.3">
      <c r="B41" s="157" t="s">
        <v>72</v>
      </c>
      <c r="C41" s="157"/>
      <c r="D41" s="157"/>
      <c r="E41" s="157"/>
      <c r="F41" s="157"/>
      <c r="G41" s="157"/>
      <c r="H41" s="157"/>
      <c r="I41" s="157"/>
      <c r="J41" s="157"/>
      <c r="K41" s="157"/>
      <c r="L41" s="157"/>
      <c r="M41" s="157"/>
      <c r="N41" s="157"/>
      <c r="O41" s="157"/>
    </row>
    <row r="43" spans="2:15" ht="17.25" customHeight="1" thickBot="1" x14ac:dyDescent="0.35">
      <c r="B43" s="158" t="s">
        <v>2</v>
      </c>
      <c r="C43" s="194"/>
      <c r="D43" s="194"/>
      <c r="E43" s="194"/>
      <c r="F43" s="194"/>
      <c r="G43" s="194"/>
      <c r="H43" s="194"/>
      <c r="I43" s="194"/>
      <c r="J43" s="194"/>
      <c r="K43" s="194"/>
      <c r="L43" s="194"/>
      <c r="M43" s="194"/>
      <c r="N43" s="194"/>
      <c r="O43" s="158"/>
    </row>
    <row r="44" spans="2:15" ht="16.5" customHeight="1" x14ac:dyDescent="0.3">
      <c r="B44" s="147" t="s">
        <v>3</v>
      </c>
      <c r="C44" s="163" t="s">
        <v>4</v>
      </c>
      <c r="D44" s="60"/>
      <c r="E44" s="165" t="s">
        <v>5</v>
      </c>
      <c r="F44" s="165"/>
      <c r="G44" s="165"/>
      <c r="H44" s="61"/>
      <c r="I44" s="147" t="s">
        <v>6</v>
      </c>
      <c r="J44" s="147"/>
      <c r="K44" s="147"/>
      <c r="L44" s="3"/>
      <c r="M44" s="147" t="s">
        <v>7</v>
      </c>
      <c r="N44" s="147"/>
      <c r="O44" s="147"/>
    </row>
    <row r="45" spans="2:15" ht="26.25"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2:15" x14ac:dyDescent="0.3">
      <c r="B46" s="55" t="s">
        <v>13</v>
      </c>
      <c r="C46" s="29">
        <v>165904.99498472913</v>
      </c>
      <c r="D46" s="29"/>
      <c r="E46" s="29">
        <v>26683.348999999995</v>
      </c>
      <c r="F46" s="29">
        <v>19682.406999999999</v>
      </c>
      <c r="G46" s="29">
        <v>7000.942</v>
      </c>
      <c r="H46" s="29"/>
      <c r="I46" s="29">
        <v>25303.971987999994</v>
      </c>
      <c r="J46" s="29">
        <v>3695.7473110000005</v>
      </c>
      <c r="K46" s="29">
        <v>21608.224677000002</v>
      </c>
      <c r="L46" s="29"/>
      <c r="M46" s="29">
        <v>113917.67399672917</v>
      </c>
      <c r="N46" s="29">
        <v>1915.1774114044915</v>
      </c>
      <c r="O46" s="8">
        <v>112002.49658532465</v>
      </c>
    </row>
    <row r="47" spans="2:15" x14ac:dyDescent="0.3">
      <c r="B47" s="11" t="s">
        <v>14</v>
      </c>
      <c r="C47" s="12">
        <v>3315.7502138075497</v>
      </c>
      <c r="D47" s="12"/>
      <c r="E47" s="12">
        <v>846.20100000000025</v>
      </c>
      <c r="F47" s="12">
        <v>846.20100000000025</v>
      </c>
      <c r="G47" s="12">
        <v>0</v>
      </c>
      <c r="H47" s="36"/>
      <c r="I47" s="12">
        <v>730.60028999999986</v>
      </c>
      <c r="J47" s="12">
        <v>31.281000000000002</v>
      </c>
      <c r="K47" s="12">
        <v>699.31928999999991</v>
      </c>
      <c r="L47" s="36"/>
      <c r="M47" s="12">
        <v>1738.9489238075494</v>
      </c>
      <c r="N47" s="12">
        <v>0</v>
      </c>
      <c r="O47" s="12">
        <v>1738.9489238075494</v>
      </c>
    </row>
    <row r="48" spans="2:15" x14ac:dyDescent="0.3">
      <c r="B48" s="7" t="s">
        <v>15</v>
      </c>
      <c r="C48" s="12">
        <v>10821.854097931078</v>
      </c>
      <c r="D48" s="12"/>
      <c r="E48" s="12">
        <v>1894.6060000000002</v>
      </c>
      <c r="F48" s="12">
        <v>1224.8460000000002</v>
      </c>
      <c r="G48" s="12">
        <v>669.75999999999988</v>
      </c>
      <c r="H48" s="36"/>
      <c r="I48" s="12">
        <v>1218.6000740000002</v>
      </c>
      <c r="J48" s="12">
        <v>482.76159100000001</v>
      </c>
      <c r="K48" s="12">
        <v>735.83848300000011</v>
      </c>
      <c r="L48" s="36"/>
      <c r="M48" s="12">
        <v>7708.6480239310768</v>
      </c>
      <c r="N48" s="12">
        <v>115.67</v>
      </c>
      <c r="O48" s="12">
        <v>7592.9780239310767</v>
      </c>
    </row>
    <row r="49" spans="2:15" x14ac:dyDescent="0.3">
      <c r="B49" s="7" t="s">
        <v>16</v>
      </c>
      <c r="C49" s="12">
        <v>7498.4835461935982</v>
      </c>
      <c r="D49" s="12"/>
      <c r="E49" s="12">
        <v>1157.0910000000001</v>
      </c>
      <c r="F49" s="12">
        <v>700.2170000000001</v>
      </c>
      <c r="G49" s="12">
        <v>456.87400000000002</v>
      </c>
      <c r="H49" s="36"/>
      <c r="I49" s="12">
        <v>1321.8821529999998</v>
      </c>
      <c r="J49" s="12">
        <v>9.3915100000000002</v>
      </c>
      <c r="K49" s="12">
        <v>1312.4906429999999</v>
      </c>
      <c r="L49" s="36"/>
      <c r="M49" s="12">
        <v>5019.5103931935982</v>
      </c>
      <c r="N49" s="12">
        <v>7.27</v>
      </c>
      <c r="O49" s="12">
        <v>5012.2403931935978</v>
      </c>
    </row>
    <row r="50" spans="2:15" x14ac:dyDescent="0.3">
      <c r="B50" s="7" t="s">
        <v>17</v>
      </c>
      <c r="C50" s="12">
        <v>9413.4915666110137</v>
      </c>
      <c r="D50" s="12"/>
      <c r="E50" s="12">
        <v>1498.2119999999995</v>
      </c>
      <c r="F50" s="12">
        <v>1216.7339999999995</v>
      </c>
      <c r="G50" s="12">
        <v>281.47799999999995</v>
      </c>
      <c r="H50" s="36"/>
      <c r="I50" s="12">
        <v>1747.488953</v>
      </c>
      <c r="J50" s="12">
        <v>576.01300100000003</v>
      </c>
      <c r="K50" s="12">
        <v>1171.475952</v>
      </c>
      <c r="L50" s="36"/>
      <c r="M50" s="12">
        <v>6167.7906136110141</v>
      </c>
      <c r="N50" s="12">
        <v>402.28399999999999</v>
      </c>
      <c r="O50" s="12">
        <v>5765.5066136110145</v>
      </c>
    </row>
    <row r="51" spans="2:15" x14ac:dyDescent="0.3">
      <c r="B51" s="7" t="s">
        <v>18</v>
      </c>
      <c r="C51" s="12">
        <v>12353.763449392527</v>
      </c>
      <c r="D51" s="12"/>
      <c r="E51" s="12">
        <v>1802.4799999999998</v>
      </c>
      <c r="F51" s="12">
        <v>1641.6329999999998</v>
      </c>
      <c r="G51" s="12">
        <v>160.84700000000004</v>
      </c>
      <c r="H51" s="36"/>
      <c r="I51" s="12">
        <v>1853.7676019999999</v>
      </c>
      <c r="J51" s="12">
        <v>264.79503000000005</v>
      </c>
      <c r="K51" s="12">
        <v>1588.9725719999999</v>
      </c>
      <c r="L51" s="36"/>
      <c r="M51" s="12">
        <v>8697.5158473925276</v>
      </c>
      <c r="N51" s="12">
        <v>18.939999999999998</v>
      </c>
      <c r="O51" s="12">
        <v>8678.5758473925271</v>
      </c>
    </row>
    <row r="52" spans="2:15" x14ac:dyDescent="0.3">
      <c r="B52" s="7" t="s">
        <v>19</v>
      </c>
      <c r="C52" s="12">
        <v>14580.564647458978</v>
      </c>
      <c r="D52" s="12"/>
      <c r="E52" s="12">
        <v>1740.4869999999996</v>
      </c>
      <c r="F52" s="12">
        <v>1404.8979999999997</v>
      </c>
      <c r="G52" s="12">
        <v>335.58900000000006</v>
      </c>
      <c r="H52" s="36"/>
      <c r="I52" s="12">
        <v>733.96858100000009</v>
      </c>
      <c r="J52" s="12">
        <v>31.779001000000001</v>
      </c>
      <c r="K52" s="12">
        <v>702.18958000000009</v>
      </c>
      <c r="L52" s="36"/>
      <c r="M52" s="12">
        <v>12106.109066458977</v>
      </c>
      <c r="N52" s="12">
        <v>41.009999999999984</v>
      </c>
      <c r="O52" s="12">
        <v>12065.099066458977</v>
      </c>
    </row>
    <row r="53" spans="2:15" x14ac:dyDescent="0.3">
      <c r="B53" s="7" t="s">
        <v>20</v>
      </c>
      <c r="C53" s="12">
        <v>41.436999999999998</v>
      </c>
      <c r="D53" s="12"/>
      <c r="E53" s="12">
        <v>41.436999999999998</v>
      </c>
      <c r="F53" s="12">
        <v>37.786999999999999</v>
      </c>
      <c r="G53" s="12">
        <v>3.65</v>
      </c>
      <c r="H53" s="36"/>
      <c r="I53" s="12">
        <v>0</v>
      </c>
      <c r="J53" s="12">
        <v>0</v>
      </c>
      <c r="K53" s="12">
        <v>0</v>
      </c>
      <c r="L53" s="36"/>
      <c r="M53" s="12">
        <v>0</v>
      </c>
      <c r="N53" s="12">
        <v>0</v>
      </c>
      <c r="O53" s="12">
        <v>0</v>
      </c>
    </row>
    <row r="54" spans="2:15" x14ac:dyDescent="0.3">
      <c r="B54" s="7" t="s">
        <v>21</v>
      </c>
      <c r="C54" s="12">
        <v>15509.027925461234</v>
      </c>
      <c r="D54" s="12"/>
      <c r="E54" s="12">
        <v>1895.9579999999994</v>
      </c>
      <c r="F54" s="12">
        <v>1444.6799999999994</v>
      </c>
      <c r="G54" s="12">
        <v>451.27800000000008</v>
      </c>
      <c r="H54" s="36"/>
      <c r="I54" s="12">
        <v>2908.5591880000002</v>
      </c>
      <c r="J54" s="12">
        <v>565.32980699999996</v>
      </c>
      <c r="K54" s="12">
        <v>2343.2293810000001</v>
      </c>
      <c r="L54" s="36"/>
      <c r="M54" s="12">
        <v>10704.510737461234</v>
      </c>
      <c r="N54" s="12">
        <v>124.66299999999994</v>
      </c>
      <c r="O54" s="12">
        <v>10579.847737461234</v>
      </c>
    </row>
    <row r="55" spans="2:15" x14ac:dyDescent="0.3">
      <c r="B55" s="7" t="s">
        <v>22</v>
      </c>
      <c r="C55" s="12">
        <v>8242.214461394522</v>
      </c>
      <c r="D55" s="12"/>
      <c r="E55" s="12">
        <v>1403.6130000000001</v>
      </c>
      <c r="F55" s="12">
        <v>988.61500000000001</v>
      </c>
      <c r="G55" s="12">
        <v>414.99800000000005</v>
      </c>
      <c r="H55" s="36"/>
      <c r="I55" s="12">
        <v>2015.1809170000004</v>
      </c>
      <c r="J55" s="12">
        <v>21.2971</v>
      </c>
      <c r="K55" s="12">
        <v>1993.8838170000004</v>
      </c>
      <c r="L55" s="36"/>
      <c r="M55" s="12">
        <v>4823.4205443945211</v>
      </c>
      <c r="N55" s="12">
        <v>0.66</v>
      </c>
      <c r="O55" s="12">
        <v>4822.7605443945213</v>
      </c>
    </row>
    <row r="56" spans="2:15" x14ac:dyDescent="0.3">
      <c r="B56" s="7" t="s">
        <v>23</v>
      </c>
      <c r="C56" s="12">
        <v>7725.827718999999</v>
      </c>
      <c r="D56" s="12"/>
      <c r="E56" s="12">
        <v>1292.7559999999999</v>
      </c>
      <c r="F56" s="12">
        <v>551.91</v>
      </c>
      <c r="G56" s="12">
        <v>740.846</v>
      </c>
      <c r="H56" s="36"/>
      <c r="I56" s="12">
        <v>772.43971899999997</v>
      </c>
      <c r="J56" s="12">
        <v>16.684176000000001</v>
      </c>
      <c r="K56" s="12">
        <v>755.75554299999999</v>
      </c>
      <c r="L56" s="36"/>
      <c r="M56" s="12">
        <v>5660.6319999999987</v>
      </c>
      <c r="N56" s="12">
        <v>4.2</v>
      </c>
      <c r="O56" s="12">
        <v>5656.4319999999989</v>
      </c>
    </row>
    <row r="57" spans="2:15" x14ac:dyDescent="0.3">
      <c r="B57" s="7" t="s">
        <v>24</v>
      </c>
      <c r="C57" s="12">
        <v>3483.2211087594505</v>
      </c>
      <c r="D57" s="12"/>
      <c r="E57" s="12">
        <v>697.476</v>
      </c>
      <c r="F57" s="12">
        <v>680.31899999999996</v>
      </c>
      <c r="G57" s="12">
        <v>17.157</v>
      </c>
      <c r="H57" s="36"/>
      <c r="I57" s="12">
        <v>743.06355600000006</v>
      </c>
      <c r="J57" s="12">
        <v>48.940999999999995</v>
      </c>
      <c r="K57" s="12">
        <v>694.12255600000003</v>
      </c>
      <c r="L57" s="36"/>
      <c r="M57" s="12">
        <v>2042.6815527594504</v>
      </c>
      <c r="N57" s="12">
        <v>82.019999999999982</v>
      </c>
      <c r="O57" s="12">
        <v>1960.6615527594504</v>
      </c>
    </row>
    <row r="58" spans="2:15" x14ac:dyDescent="0.3">
      <c r="B58" s="7" t="s">
        <v>25</v>
      </c>
      <c r="C58" s="12">
        <v>11922.453658913637</v>
      </c>
      <c r="D58" s="12"/>
      <c r="E58" s="12">
        <v>1677.105</v>
      </c>
      <c r="F58" s="12">
        <v>970.62600000000009</v>
      </c>
      <c r="G58" s="12">
        <v>706.47900000000004</v>
      </c>
      <c r="H58" s="36"/>
      <c r="I58" s="12">
        <v>833.70869700000026</v>
      </c>
      <c r="J58" s="12">
        <v>67.679109999999966</v>
      </c>
      <c r="K58" s="12">
        <v>766.02958700000033</v>
      </c>
      <c r="L58" s="36"/>
      <c r="M58" s="12">
        <v>9411.6399619136373</v>
      </c>
      <c r="N58" s="12">
        <v>219.42199999999994</v>
      </c>
      <c r="O58" s="12">
        <v>9192.2179619136368</v>
      </c>
    </row>
    <row r="59" spans="2:15" x14ac:dyDescent="0.3">
      <c r="B59" s="7" t="s">
        <v>26</v>
      </c>
      <c r="C59" s="12">
        <v>8754.8380662428463</v>
      </c>
      <c r="D59" s="12"/>
      <c r="E59" s="12">
        <v>1263.2139999999999</v>
      </c>
      <c r="F59" s="12">
        <v>643.43799999999999</v>
      </c>
      <c r="G59" s="12">
        <v>619.77599999999984</v>
      </c>
      <c r="H59" s="36"/>
      <c r="I59" s="12">
        <v>1824.8276960000003</v>
      </c>
      <c r="J59" s="12">
        <v>92.015232999999995</v>
      </c>
      <c r="K59" s="12">
        <v>1732.8124630000002</v>
      </c>
      <c r="L59" s="36"/>
      <c r="M59" s="12">
        <v>5666.7963702428469</v>
      </c>
      <c r="N59" s="12">
        <v>155.39100000000005</v>
      </c>
      <c r="O59" s="12">
        <v>5511.4053702428473</v>
      </c>
    </row>
    <row r="60" spans="2:15" x14ac:dyDescent="0.3">
      <c r="B60" s="7" t="s">
        <v>27</v>
      </c>
      <c r="C60" s="12">
        <v>3188.7110010000001</v>
      </c>
      <c r="D60" s="12"/>
      <c r="E60" s="12">
        <v>469.04900000000004</v>
      </c>
      <c r="F60" s="12">
        <v>450.82100000000003</v>
      </c>
      <c r="G60" s="12">
        <v>18.228000000000002</v>
      </c>
      <c r="H60" s="36"/>
      <c r="I60" s="12">
        <v>663.05700100000001</v>
      </c>
      <c r="J60" s="12">
        <v>213.75100000000006</v>
      </c>
      <c r="K60" s="12">
        <v>449.30600099999998</v>
      </c>
      <c r="L60" s="36"/>
      <c r="M60" s="12">
        <v>2056.605</v>
      </c>
      <c r="N60" s="12">
        <v>27.549999999999997</v>
      </c>
      <c r="O60" s="12">
        <v>2029.0549999999998</v>
      </c>
    </row>
    <row r="61" spans="2:15" x14ac:dyDescent="0.3">
      <c r="B61" s="7" t="s">
        <v>28</v>
      </c>
      <c r="C61" s="12">
        <v>7536.0200403862855</v>
      </c>
      <c r="D61" s="12"/>
      <c r="E61" s="12">
        <v>1685.0309999999995</v>
      </c>
      <c r="F61" s="12">
        <v>1201.6409999999996</v>
      </c>
      <c r="G61" s="12">
        <v>483.38999999999987</v>
      </c>
      <c r="H61" s="36"/>
      <c r="I61" s="12">
        <v>1584.1970040000003</v>
      </c>
      <c r="J61" s="12">
        <v>165.56425100000004</v>
      </c>
      <c r="K61" s="12">
        <v>1418.6327530000003</v>
      </c>
      <c r="L61" s="36"/>
      <c r="M61" s="12">
        <v>4266.7920363862859</v>
      </c>
      <c r="N61" s="12">
        <v>171.99399999999997</v>
      </c>
      <c r="O61" s="12">
        <v>4094.7980363862862</v>
      </c>
    </row>
    <row r="62" spans="2:15" x14ac:dyDescent="0.3">
      <c r="B62" s="7" t="s">
        <v>29</v>
      </c>
      <c r="C62" s="12">
        <v>847.65744681364504</v>
      </c>
      <c r="D62" s="12"/>
      <c r="E62" s="12">
        <v>124.92700000000002</v>
      </c>
      <c r="F62" s="12">
        <v>93.580000000000013</v>
      </c>
      <c r="G62" s="12">
        <v>31.347000000000001</v>
      </c>
      <c r="H62" s="36"/>
      <c r="I62" s="12">
        <v>283.27022999999997</v>
      </c>
      <c r="J62" s="12">
        <v>102.41299999999998</v>
      </c>
      <c r="K62" s="12">
        <v>180.85722999999999</v>
      </c>
      <c r="L62" s="36"/>
      <c r="M62" s="12">
        <v>439.46021681364499</v>
      </c>
      <c r="N62" s="12">
        <v>19.079999999999998</v>
      </c>
      <c r="O62" s="12">
        <v>420.38021681364501</v>
      </c>
    </row>
    <row r="63" spans="2:15" x14ac:dyDescent="0.3">
      <c r="B63" s="7" t="s">
        <v>30</v>
      </c>
      <c r="C63" s="12">
        <v>1985.9360490383006</v>
      </c>
      <c r="D63" s="12"/>
      <c r="E63" s="12">
        <v>399.27600000000001</v>
      </c>
      <c r="F63" s="12">
        <v>399.27600000000001</v>
      </c>
      <c r="G63" s="12">
        <v>0</v>
      </c>
      <c r="H63" s="36"/>
      <c r="I63" s="12">
        <v>203.14000000000001</v>
      </c>
      <c r="J63" s="12">
        <v>3.673</v>
      </c>
      <c r="K63" s="12">
        <v>199.46700000000001</v>
      </c>
      <c r="L63" s="36"/>
      <c r="M63" s="12">
        <v>1383.5200490383004</v>
      </c>
      <c r="N63" s="12">
        <v>5.07</v>
      </c>
      <c r="O63" s="12">
        <v>1378.4500490383004</v>
      </c>
    </row>
    <row r="64" spans="2:15" x14ac:dyDescent="0.3">
      <c r="B64" s="7" t="s">
        <v>31</v>
      </c>
      <c r="C64" s="12">
        <v>2647.0240960000001</v>
      </c>
      <c r="D64" s="12"/>
      <c r="E64" s="12">
        <v>469.245</v>
      </c>
      <c r="F64" s="12">
        <v>469.245</v>
      </c>
      <c r="G64" s="12">
        <v>0</v>
      </c>
      <c r="H64" s="36"/>
      <c r="I64" s="12">
        <v>908.93209599999989</v>
      </c>
      <c r="J64" s="12">
        <v>91.376569000000018</v>
      </c>
      <c r="K64" s="12">
        <v>817.55552699999987</v>
      </c>
      <c r="L64" s="36"/>
      <c r="M64" s="12">
        <v>1268.847</v>
      </c>
      <c r="N64" s="12">
        <v>99.75</v>
      </c>
      <c r="O64" s="12">
        <v>1169.097</v>
      </c>
    </row>
    <row r="65" spans="2:15" x14ac:dyDescent="0.3">
      <c r="B65" s="7" t="s">
        <v>32</v>
      </c>
      <c r="C65" s="12">
        <v>3295.5288531646397</v>
      </c>
      <c r="D65" s="12"/>
      <c r="E65" s="12">
        <v>600.48799999999994</v>
      </c>
      <c r="F65" s="12">
        <v>279.50799999999992</v>
      </c>
      <c r="G65" s="12">
        <v>320.98</v>
      </c>
      <c r="H65" s="36"/>
      <c r="I65" s="12">
        <v>607.57549100000006</v>
      </c>
      <c r="J65" s="12">
        <v>34.434956</v>
      </c>
      <c r="K65" s="12">
        <v>573.14053500000011</v>
      </c>
      <c r="L65" s="36"/>
      <c r="M65" s="12">
        <v>2087.4653621646398</v>
      </c>
      <c r="N65" s="12">
        <v>0</v>
      </c>
      <c r="O65" s="12">
        <v>2087.4653621646398</v>
      </c>
    </row>
    <row r="66" spans="2:15" x14ac:dyDescent="0.3">
      <c r="B66" s="7" t="s">
        <v>34</v>
      </c>
      <c r="C66" s="12">
        <v>8942.0049683284815</v>
      </c>
      <c r="D66" s="12"/>
      <c r="E66" s="12">
        <v>1739.7399999999989</v>
      </c>
      <c r="F66" s="12">
        <v>1403.157999999999</v>
      </c>
      <c r="G66" s="12">
        <v>336.58199999999999</v>
      </c>
      <c r="H66" s="36"/>
      <c r="I66" s="12">
        <v>584.09500200000002</v>
      </c>
      <c r="J66" s="12">
        <v>167.478002</v>
      </c>
      <c r="K66" s="12">
        <v>416.61699999999996</v>
      </c>
      <c r="L66" s="36"/>
      <c r="M66" s="12">
        <v>6618.1699663284835</v>
      </c>
      <c r="N66" s="12">
        <v>171.14999999999992</v>
      </c>
      <c r="O66" s="12">
        <v>6447.0199663284839</v>
      </c>
    </row>
    <row r="67" spans="2:15" x14ac:dyDescent="0.3">
      <c r="B67" s="7" t="s">
        <v>35</v>
      </c>
      <c r="C67" s="12">
        <v>13144.162241831364</v>
      </c>
      <c r="D67" s="12"/>
      <c r="E67" s="12">
        <v>2014.2030000000002</v>
      </c>
      <c r="F67" s="12">
        <v>1479.0870000000002</v>
      </c>
      <c r="G67" s="12">
        <v>535.11599999999999</v>
      </c>
      <c r="H67" s="36"/>
      <c r="I67" s="12">
        <v>1803.8899109999993</v>
      </c>
      <c r="J67" s="12">
        <v>393.20751499999989</v>
      </c>
      <c r="K67" s="12">
        <v>1410.6823959999995</v>
      </c>
      <c r="L67" s="36"/>
      <c r="M67" s="12">
        <v>9326.0693308313639</v>
      </c>
      <c r="N67" s="12">
        <v>66.24341140449242</v>
      </c>
      <c r="O67" s="12">
        <v>9259.8259194268721</v>
      </c>
    </row>
    <row r="68" spans="2:15" x14ac:dyDescent="0.3">
      <c r="B68" s="7" t="s">
        <v>36</v>
      </c>
      <c r="C68" s="12">
        <v>5276.9055109999999</v>
      </c>
      <c r="D68" s="12"/>
      <c r="E68" s="12">
        <v>868.84900000000005</v>
      </c>
      <c r="F68" s="12">
        <v>724.08600000000001</v>
      </c>
      <c r="G68" s="12">
        <v>144.76300000000001</v>
      </c>
      <c r="H68" s="36"/>
      <c r="I68" s="12">
        <v>969.52421099999981</v>
      </c>
      <c r="J68" s="12">
        <v>161.36999799999998</v>
      </c>
      <c r="K68" s="12">
        <v>808.1542129999998</v>
      </c>
      <c r="L68" s="36"/>
      <c r="M68" s="12">
        <v>3438.5322999999999</v>
      </c>
      <c r="N68" s="12">
        <v>0.09</v>
      </c>
      <c r="O68" s="12">
        <v>3438.4422999999997</v>
      </c>
    </row>
    <row r="69" spans="2:15" x14ac:dyDescent="0.3">
      <c r="B69" s="7" t="s">
        <v>37</v>
      </c>
      <c r="C69" s="12">
        <v>2518.4003840000005</v>
      </c>
      <c r="D69" s="12"/>
      <c r="E69" s="12">
        <v>636.6070000000002</v>
      </c>
      <c r="F69" s="12">
        <v>470.86000000000013</v>
      </c>
      <c r="G69" s="12">
        <v>165.74700000000001</v>
      </c>
      <c r="H69" s="36"/>
      <c r="I69" s="12">
        <v>489.70338399999997</v>
      </c>
      <c r="J69" s="12">
        <v>85.002460999999997</v>
      </c>
      <c r="K69" s="12">
        <v>404.70092299999999</v>
      </c>
      <c r="L69" s="36"/>
      <c r="M69" s="12">
        <v>1392.0900000000004</v>
      </c>
      <c r="N69" s="12">
        <v>163.04999999999993</v>
      </c>
      <c r="O69" s="12">
        <v>1229.0400000000004</v>
      </c>
    </row>
    <row r="70" spans="2:15" x14ac:dyDescent="0.3">
      <c r="B70" s="7" t="s">
        <v>38</v>
      </c>
      <c r="C70" s="12">
        <v>939.53893200000016</v>
      </c>
      <c r="D70" s="12"/>
      <c r="E70" s="12">
        <v>138.14599999999999</v>
      </c>
      <c r="F70" s="12">
        <v>138.14599999999999</v>
      </c>
      <c r="G70" s="12">
        <v>0</v>
      </c>
      <c r="H70" s="36"/>
      <c r="I70" s="12">
        <v>285.27123200000005</v>
      </c>
      <c r="J70" s="12">
        <v>69.509000000000015</v>
      </c>
      <c r="K70" s="12">
        <v>215.76223200000001</v>
      </c>
      <c r="L70" s="36"/>
      <c r="M70" s="12">
        <v>516.12170000000015</v>
      </c>
      <c r="N70" s="12">
        <v>9.33</v>
      </c>
      <c r="O70" s="12">
        <v>506.79170000000011</v>
      </c>
    </row>
    <row r="71" spans="2:15" ht="17.25" thickBot="1" x14ac:dyDescent="0.35">
      <c r="B71" s="13" t="s">
        <v>39</v>
      </c>
      <c r="C71" s="14">
        <v>1920.1779999999992</v>
      </c>
      <c r="D71" s="14"/>
      <c r="E71" s="14">
        <v>327.15200000000004</v>
      </c>
      <c r="F71" s="14">
        <v>221.095</v>
      </c>
      <c r="G71" s="14">
        <v>106.05700000000002</v>
      </c>
      <c r="H71" s="14"/>
      <c r="I71" s="14">
        <v>217.22900000000001</v>
      </c>
      <c r="J71" s="14">
        <v>0</v>
      </c>
      <c r="K71" s="14">
        <v>217.22900000000001</v>
      </c>
      <c r="L71" s="14"/>
      <c r="M71" s="14">
        <v>1375.7969999999991</v>
      </c>
      <c r="N71" s="14">
        <v>10.339999999999998</v>
      </c>
      <c r="O71" s="14">
        <v>1365.4569999999992</v>
      </c>
    </row>
    <row r="72" spans="2:15" s="44" customFormat="1" ht="48.75" customHeight="1" x14ac:dyDescent="0.25">
      <c r="B72" s="195" t="s">
        <v>60</v>
      </c>
      <c r="C72" s="195"/>
      <c r="D72" s="195"/>
      <c r="E72" s="195"/>
      <c r="F72" s="195"/>
      <c r="G72" s="195"/>
      <c r="H72" s="195"/>
      <c r="I72" s="195"/>
      <c r="J72" s="195"/>
      <c r="K72" s="195"/>
      <c r="L72" s="195"/>
      <c r="M72" s="195"/>
      <c r="N72" s="195"/>
      <c r="O72" s="195"/>
    </row>
    <row r="73" spans="2:15" s="44" customFormat="1" ht="13.5" customHeight="1" x14ac:dyDescent="0.25">
      <c r="B73" s="196" t="s">
        <v>70</v>
      </c>
      <c r="C73" s="196"/>
      <c r="D73" s="196"/>
      <c r="E73" s="196"/>
      <c r="F73" s="196"/>
      <c r="G73" s="196"/>
      <c r="H73" s="196"/>
      <c r="I73" s="196"/>
      <c r="J73" s="196"/>
      <c r="K73" s="196"/>
      <c r="L73" s="196"/>
      <c r="M73" s="196"/>
      <c r="N73" s="196"/>
      <c r="O73" s="196"/>
    </row>
    <row r="74" spans="2:15" s="44" customFormat="1" ht="16.5" customHeight="1" x14ac:dyDescent="0.25">
      <c r="B74" s="96" t="s">
        <v>71</v>
      </c>
      <c r="C74" s="97"/>
      <c r="D74" s="97"/>
      <c r="E74" s="78"/>
      <c r="F74" s="97"/>
      <c r="G74" s="97"/>
      <c r="H74" s="78"/>
      <c r="I74" s="97"/>
      <c r="J74" s="97"/>
      <c r="K74" s="97"/>
      <c r="L74" s="78"/>
      <c r="M74" s="97"/>
      <c r="N74" s="97"/>
      <c r="O74" s="97"/>
    </row>
    <row r="75" spans="2:15" s="44" customFormat="1" ht="13.5" x14ac:dyDescent="0.25">
      <c r="B75" s="71" t="s">
        <v>43</v>
      </c>
      <c r="C75" s="78"/>
      <c r="D75" s="78"/>
      <c r="E75" s="78"/>
      <c r="F75" s="78"/>
      <c r="G75" s="78"/>
      <c r="H75" s="78"/>
      <c r="I75" s="78"/>
      <c r="J75" s="78"/>
      <c r="K75" s="78"/>
      <c r="L75" s="78"/>
      <c r="M75" s="78"/>
      <c r="N75" s="78"/>
      <c r="O75" s="78"/>
    </row>
  </sheetData>
  <mergeCells count="21">
    <mergeCell ref="B72:O72"/>
    <mergeCell ref="B73:O73"/>
    <mergeCell ref="B44:B45"/>
    <mergeCell ref="C44:C45"/>
    <mergeCell ref="E44:G44"/>
    <mergeCell ref="I44:K44"/>
    <mergeCell ref="M44:O44"/>
    <mergeCell ref="B43:O43"/>
    <mergeCell ref="B40:O40"/>
    <mergeCell ref="B41:O41"/>
    <mergeCell ref="B36:O36"/>
    <mergeCell ref="B35:O35"/>
    <mergeCell ref="B6:O6"/>
    <mergeCell ref="B4:O4"/>
    <mergeCell ref="B2:O2"/>
    <mergeCell ref="B3:O3"/>
    <mergeCell ref="B7:B8"/>
    <mergeCell ref="C7:C8"/>
    <mergeCell ref="E7:G7"/>
    <mergeCell ref="I7:K7"/>
    <mergeCell ref="M7:O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O75"/>
  <sheetViews>
    <sheetView topLeftCell="A37" zoomScale="90" zoomScaleNormal="90" workbookViewId="0">
      <selection activeCell="J75" sqref="J75"/>
    </sheetView>
  </sheetViews>
  <sheetFormatPr baseColWidth="10" defaultColWidth="11.42578125" defaultRowHeight="16.5" x14ac:dyDescent="0.3"/>
  <cols>
    <col min="1" max="1" width="11.42578125" style="1"/>
    <col min="2" max="2" width="17.42578125" style="1" customWidth="1"/>
    <col min="3" max="3" width="15.42578125" style="1" customWidth="1"/>
    <col min="4" max="4" width="3.7109375" style="1" customWidth="1"/>
    <col min="5" max="5" width="12.85546875" style="1" bestFit="1" customWidth="1"/>
    <col min="6" max="6" width="15" style="1" customWidth="1"/>
    <col min="7" max="7" width="17.28515625" style="1" customWidth="1"/>
    <col min="8" max="8" width="4.42578125" style="1" customWidth="1"/>
    <col min="9" max="9" width="12.85546875" style="1" bestFit="1" customWidth="1"/>
    <col min="10" max="10" width="12.5703125" style="1" bestFit="1" customWidth="1"/>
    <col min="11" max="11" width="16.5703125" style="1" customWidth="1"/>
    <col min="12" max="12" width="5.28515625" style="1" customWidth="1"/>
    <col min="13" max="13" width="14.140625" style="1" bestFit="1" customWidth="1"/>
    <col min="14" max="14" width="14.42578125" style="1" customWidth="1"/>
    <col min="15" max="15" width="16.28515625" style="1" customWidth="1"/>
    <col min="16" max="16384" width="11.42578125" style="1"/>
  </cols>
  <sheetData>
    <row r="2" spans="2:15" ht="30.75" customHeight="1" x14ac:dyDescent="0.3">
      <c r="B2" s="156"/>
      <c r="C2" s="156"/>
      <c r="D2" s="156"/>
      <c r="E2" s="156"/>
      <c r="F2" s="156"/>
      <c r="G2" s="156"/>
      <c r="H2" s="156"/>
      <c r="I2" s="156"/>
      <c r="J2" s="156"/>
      <c r="K2" s="156"/>
      <c r="L2" s="156"/>
      <c r="M2" s="156"/>
      <c r="N2" s="156"/>
      <c r="O2" s="156"/>
    </row>
    <row r="3" spans="2:15" ht="28.5" customHeight="1" x14ac:dyDescent="0.3">
      <c r="B3" s="159" t="s">
        <v>136</v>
      </c>
      <c r="C3" s="159"/>
      <c r="D3" s="159"/>
      <c r="E3" s="159"/>
      <c r="F3" s="159"/>
      <c r="G3" s="159"/>
      <c r="H3" s="159"/>
      <c r="I3" s="159"/>
      <c r="J3" s="159"/>
      <c r="K3" s="159"/>
      <c r="L3" s="159"/>
      <c r="M3" s="159"/>
      <c r="N3" s="159"/>
      <c r="O3" s="159"/>
    </row>
    <row r="4" spans="2:15" x14ac:dyDescent="0.3">
      <c r="B4" s="157" t="s">
        <v>73</v>
      </c>
      <c r="C4" s="157"/>
      <c r="D4" s="157"/>
      <c r="E4" s="157"/>
      <c r="F4" s="157"/>
      <c r="G4" s="157"/>
      <c r="H4" s="157"/>
      <c r="I4" s="157"/>
      <c r="J4" s="157"/>
      <c r="K4" s="157"/>
      <c r="L4" s="157"/>
      <c r="M4" s="157"/>
      <c r="N4" s="157"/>
      <c r="O4" s="157"/>
    </row>
    <row r="6" spans="2:15" ht="17.25" customHeight="1" thickBot="1" x14ac:dyDescent="0.35">
      <c r="B6" s="161" t="s">
        <v>2</v>
      </c>
      <c r="C6" s="161"/>
      <c r="D6" s="161"/>
      <c r="E6" s="161"/>
      <c r="F6" s="161"/>
      <c r="G6" s="161"/>
      <c r="H6" s="161"/>
      <c r="I6" s="161"/>
      <c r="J6" s="161"/>
      <c r="K6" s="161"/>
      <c r="L6" s="161"/>
      <c r="M6" s="161"/>
      <c r="N6" s="161"/>
      <c r="O6" s="161"/>
    </row>
    <row r="7" spans="2:15" ht="21.75" customHeight="1" x14ac:dyDescent="0.3">
      <c r="B7" s="147" t="s">
        <v>3</v>
      </c>
      <c r="C7" s="149" t="s">
        <v>4</v>
      </c>
      <c r="D7" s="54"/>
      <c r="E7" s="147" t="s">
        <v>5</v>
      </c>
      <c r="F7" s="147"/>
      <c r="G7" s="147"/>
      <c r="H7" s="3"/>
      <c r="I7" s="147" t="s">
        <v>6</v>
      </c>
      <c r="J7" s="147"/>
      <c r="K7" s="147"/>
      <c r="L7" s="3"/>
      <c r="M7" s="147" t="s">
        <v>7</v>
      </c>
      <c r="N7" s="147"/>
      <c r="O7" s="147"/>
    </row>
    <row r="8" spans="2:15" ht="17.25" thickBot="1" x14ac:dyDescent="0.35">
      <c r="B8" s="148"/>
      <c r="C8" s="150"/>
      <c r="D8" s="5"/>
      <c r="E8" s="4" t="s">
        <v>8</v>
      </c>
      <c r="F8" s="4" t="s">
        <v>9</v>
      </c>
      <c r="G8" s="4" t="s">
        <v>10</v>
      </c>
      <c r="H8" s="5"/>
      <c r="I8" s="4" t="s">
        <v>11</v>
      </c>
      <c r="J8" s="4" t="s">
        <v>12</v>
      </c>
      <c r="K8" s="4" t="s">
        <v>10</v>
      </c>
      <c r="L8" s="5"/>
      <c r="M8" s="4" t="s">
        <v>11</v>
      </c>
      <c r="N8" s="4" t="s">
        <v>12</v>
      </c>
      <c r="O8" s="4" t="s">
        <v>10</v>
      </c>
    </row>
    <row r="9" spans="2:15" x14ac:dyDescent="0.3">
      <c r="B9" s="55" t="s">
        <v>13</v>
      </c>
      <c r="C9" s="29">
        <v>166175.06822780182</v>
      </c>
      <c r="D9" s="29"/>
      <c r="E9" s="29">
        <v>26706.009999999995</v>
      </c>
      <c r="F9" s="29">
        <v>19685.581999999995</v>
      </c>
      <c r="G9" s="29">
        <v>7020.4280000000008</v>
      </c>
      <c r="H9" s="29"/>
      <c r="I9" s="29">
        <v>26122.069982157838</v>
      </c>
      <c r="J9" s="29">
        <v>3718.3263102117935</v>
      </c>
      <c r="K9" s="29">
        <v>22403.743671946049</v>
      </c>
      <c r="L9" s="29"/>
      <c r="M9" s="29">
        <v>113346.988245644</v>
      </c>
      <c r="N9" s="29">
        <v>1891.9474114044915</v>
      </c>
      <c r="O9" s="29">
        <v>111455.04083423949</v>
      </c>
    </row>
    <row r="10" spans="2:15" s="44" customFormat="1" ht="13.5" customHeight="1" x14ac:dyDescent="0.25">
      <c r="B10" s="11" t="s">
        <v>14</v>
      </c>
      <c r="C10" s="33">
        <v>3337.0172139365595</v>
      </c>
      <c r="D10" s="33"/>
      <c r="E10" s="33">
        <v>851.92400000000009</v>
      </c>
      <c r="F10" s="33">
        <v>851.92400000000009</v>
      </c>
      <c r="G10" s="39">
        <v>0</v>
      </c>
      <c r="H10" s="35"/>
      <c r="I10" s="33">
        <v>746.14429012900996</v>
      </c>
      <c r="J10" s="33">
        <v>31.281000000000002</v>
      </c>
      <c r="K10" s="33">
        <v>714.86329012901001</v>
      </c>
      <c r="L10" s="35"/>
      <c r="M10" s="33">
        <v>1738.9489238075494</v>
      </c>
      <c r="N10" s="33">
        <v>0</v>
      </c>
      <c r="O10" s="33">
        <v>1738.9489238075494</v>
      </c>
    </row>
    <row r="11" spans="2:15" s="44" customFormat="1" ht="13.5" customHeight="1" x14ac:dyDescent="0.25">
      <c r="B11" s="7" t="s">
        <v>15</v>
      </c>
      <c r="C11" s="33">
        <v>10820.817096469535</v>
      </c>
      <c r="D11" s="33"/>
      <c r="E11" s="33">
        <v>1893.569</v>
      </c>
      <c r="F11" s="33">
        <v>1223.809</v>
      </c>
      <c r="G11" s="39">
        <v>669.7600000000001</v>
      </c>
      <c r="H11" s="35"/>
      <c r="I11" s="33">
        <v>1218.6000725384592</v>
      </c>
      <c r="J11" s="33">
        <v>482.76159050000001</v>
      </c>
      <c r="K11" s="33">
        <v>735.83848203845912</v>
      </c>
      <c r="L11" s="35"/>
      <c r="M11" s="33">
        <v>7708.6480239310758</v>
      </c>
      <c r="N11" s="33">
        <v>115.67</v>
      </c>
      <c r="O11" s="33">
        <v>7592.9780239310758</v>
      </c>
    </row>
    <row r="12" spans="2:15" s="44" customFormat="1" ht="13.5" customHeight="1" x14ac:dyDescent="0.25">
      <c r="B12" s="7" t="s">
        <v>16</v>
      </c>
      <c r="C12" s="33">
        <v>7506.5517061707269</v>
      </c>
      <c r="D12" s="33"/>
      <c r="E12" s="33">
        <v>1157.0909999999999</v>
      </c>
      <c r="F12" s="33">
        <v>700.21699999999987</v>
      </c>
      <c r="G12" s="39">
        <v>456.87400000000008</v>
      </c>
      <c r="H12" s="35"/>
      <c r="I12" s="33">
        <v>1309.90215338998</v>
      </c>
      <c r="J12" s="33">
        <v>9.3915100000000002</v>
      </c>
      <c r="K12" s="33">
        <v>1300.51064338998</v>
      </c>
      <c r="L12" s="35"/>
      <c r="M12" s="33">
        <v>5039.558552780747</v>
      </c>
      <c r="N12" s="33">
        <v>7.27</v>
      </c>
      <c r="O12" s="33">
        <v>5032.2885527807466</v>
      </c>
    </row>
    <row r="13" spans="2:15" s="44" customFormat="1" ht="13.5" customHeight="1" x14ac:dyDescent="0.25">
      <c r="B13" s="7" t="s">
        <v>17</v>
      </c>
      <c r="C13" s="33">
        <v>9392.3623133804613</v>
      </c>
      <c r="D13" s="33"/>
      <c r="E13" s="33">
        <v>1481.0529999999997</v>
      </c>
      <c r="F13" s="33">
        <v>1199.5749999999996</v>
      </c>
      <c r="G13" s="39">
        <v>281.47800000000007</v>
      </c>
      <c r="H13" s="35"/>
      <c r="I13" s="33">
        <v>1743.5186997694479</v>
      </c>
      <c r="J13" s="33">
        <v>575.36200151834805</v>
      </c>
      <c r="K13" s="33">
        <v>1168.1566982510999</v>
      </c>
      <c r="L13" s="35"/>
      <c r="M13" s="33">
        <v>6167.7906136110141</v>
      </c>
      <c r="N13" s="33">
        <v>402.28399999999999</v>
      </c>
      <c r="O13" s="33">
        <v>5765.5066136110145</v>
      </c>
    </row>
    <row r="14" spans="2:15" s="44" customFormat="1" ht="13.5" customHeight="1" x14ac:dyDescent="0.25">
      <c r="B14" s="7" t="s">
        <v>18</v>
      </c>
      <c r="C14" s="33">
        <v>12353.726450672366</v>
      </c>
      <c r="D14" s="33"/>
      <c r="E14" s="33">
        <v>1802.4429999999995</v>
      </c>
      <c r="F14" s="33">
        <v>1641.5959999999995</v>
      </c>
      <c r="G14" s="39">
        <v>160.84699999999995</v>
      </c>
      <c r="H14" s="35"/>
      <c r="I14" s="33">
        <v>1853.7676032798395</v>
      </c>
      <c r="J14" s="33">
        <v>264.79503021022003</v>
      </c>
      <c r="K14" s="33">
        <v>1588.9725730696196</v>
      </c>
      <c r="L14" s="35"/>
      <c r="M14" s="33">
        <v>8697.5158473925276</v>
      </c>
      <c r="N14" s="33">
        <v>18.939999999999998</v>
      </c>
      <c r="O14" s="33">
        <v>8678.5758473925271</v>
      </c>
    </row>
    <row r="15" spans="2:15" s="44" customFormat="1" ht="13.5" customHeight="1" x14ac:dyDescent="0.25">
      <c r="B15" s="7" t="s">
        <v>19</v>
      </c>
      <c r="C15" s="33">
        <v>14719.734077807389</v>
      </c>
      <c r="D15" s="33"/>
      <c r="E15" s="33">
        <v>1738.9439999999997</v>
      </c>
      <c r="F15" s="33">
        <v>1403.3679999999997</v>
      </c>
      <c r="G15" s="39">
        <v>335.57599999999996</v>
      </c>
      <c r="H15" s="35"/>
      <c r="I15" s="33">
        <v>874.67368572016017</v>
      </c>
      <c r="J15" s="33">
        <v>31.779000404580003</v>
      </c>
      <c r="K15" s="33">
        <v>842.8946853155802</v>
      </c>
      <c r="L15" s="35"/>
      <c r="M15" s="33">
        <v>12106.11639208723</v>
      </c>
      <c r="N15" s="33">
        <v>41.009999999999984</v>
      </c>
      <c r="O15" s="33">
        <v>12065.106392087229</v>
      </c>
    </row>
    <row r="16" spans="2:15" s="44" customFormat="1" ht="13.5" customHeight="1" x14ac:dyDescent="0.25">
      <c r="B16" s="7" t="s">
        <v>20</v>
      </c>
      <c r="C16" s="33">
        <v>50.277969999999996</v>
      </c>
      <c r="D16" s="33"/>
      <c r="E16" s="33">
        <v>43.379999999999995</v>
      </c>
      <c r="F16" s="33">
        <v>42.377999999999993</v>
      </c>
      <c r="G16" s="39">
        <v>1.002</v>
      </c>
      <c r="H16" s="35"/>
      <c r="I16" s="33">
        <v>6.8979700000000008</v>
      </c>
      <c r="J16" s="33">
        <v>5.15</v>
      </c>
      <c r="K16" s="33">
        <v>1.74797</v>
      </c>
      <c r="L16" s="35"/>
      <c r="M16" s="33">
        <v>0</v>
      </c>
      <c r="N16" s="33">
        <v>0</v>
      </c>
      <c r="O16" s="33">
        <v>0</v>
      </c>
    </row>
    <row r="17" spans="2:15" s="44" customFormat="1" ht="13.5" customHeight="1" x14ac:dyDescent="0.25">
      <c r="B17" s="7" t="s">
        <v>21</v>
      </c>
      <c r="C17" s="33">
        <v>15528.294667764823</v>
      </c>
      <c r="D17" s="33"/>
      <c r="E17" s="33">
        <v>1895.9579999999996</v>
      </c>
      <c r="F17" s="33">
        <v>1445.7979999999995</v>
      </c>
      <c r="G17" s="39">
        <v>450.15999999999997</v>
      </c>
      <c r="H17" s="35"/>
      <c r="I17" s="33">
        <v>2923.5981669810394</v>
      </c>
      <c r="J17" s="33">
        <v>565.32980554395988</v>
      </c>
      <c r="K17" s="33">
        <v>2358.2683614370794</v>
      </c>
      <c r="L17" s="35"/>
      <c r="M17" s="33">
        <v>10708.738500783784</v>
      </c>
      <c r="N17" s="33">
        <v>124.66299999999994</v>
      </c>
      <c r="O17" s="33">
        <v>10584.075500783783</v>
      </c>
    </row>
    <row r="18" spans="2:15" s="44" customFormat="1" ht="13.5" customHeight="1" x14ac:dyDescent="0.25">
      <c r="B18" s="7" t="s">
        <v>22</v>
      </c>
      <c r="C18" s="33">
        <v>8250.7114610306817</v>
      </c>
      <c r="D18" s="33"/>
      <c r="E18" s="33">
        <v>1403.6499999999999</v>
      </c>
      <c r="F18" s="33">
        <v>988.65199999999993</v>
      </c>
      <c r="G18" s="39">
        <v>414.99799999999993</v>
      </c>
      <c r="H18" s="35"/>
      <c r="I18" s="33">
        <v>2015.1809162592306</v>
      </c>
      <c r="J18" s="33">
        <v>21.2971</v>
      </c>
      <c r="K18" s="33">
        <v>1993.8838162592306</v>
      </c>
      <c r="L18" s="35"/>
      <c r="M18" s="33">
        <v>4831.8805447714512</v>
      </c>
      <c r="N18" s="33">
        <v>0.66</v>
      </c>
      <c r="O18" s="33">
        <v>4831.2205447714514</v>
      </c>
    </row>
    <row r="19" spans="2:15" s="44" customFormat="1" ht="13.5" customHeight="1" x14ac:dyDescent="0.25">
      <c r="B19" s="7" t="s">
        <v>23</v>
      </c>
      <c r="C19" s="33">
        <v>7751.324719200119</v>
      </c>
      <c r="D19" s="33"/>
      <c r="E19" s="33">
        <v>1318.2530000000002</v>
      </c>
      <c r="F19" s="33">
        <v>551.91000000000008</v>
      </c>
      <c r="G19" s="39">
        <v>766.34300000000007</v>
      </c>
      <c r="H19" s="35"/>
      <c r="I19" s="33">
        <v>772.43971920011995</v>
      </c>
      <c r="J19" s="33">
        <v>16.68417617319</v>
      </c>
      <c r="K19" s="33">
        <v>755.7555430269299</v>
      </c>
      <c r="L19" s="35"/>
      <c r="M19" s="33">
        <v>5660.6319999999987</v>
      </c>
      <c r="N19" s="33">
        <v>4.2</v>
      </c>
      <c r="O19" s="33">
        <v>5656.4319999999989</v>
      </c>
    </row>
    <row r="20" spans="2:15" s="44" customFormat="1" ht="13.5" customHeight="1" x14ac:dyDescent="0.25">
      <c r="B20" s="7" t="s">
        <v>24</v>
      </c>
      <c r="C20" s="33">
        <v>3483.6211086870503</v>
      </c>
      <c r="D20" s="33"/>
      <c r="E20" s="33">
        <v>697.87599999999998</v>
      </c>
      <c r="F20" s="33">
        <v>680.71899999999994</v>
      </c>
      <c r="G20" s="39">
        <v>17.157</v>
      </c>
      <c r="H20" s="35"/>
      <c r="I20" s="33">
        <v>743.06355592759996</v>
      </c>
      <c r="J20" s="33">
        <v>48.940999999999995</v>
      </c>
      <c r="K20" s="33">
        <v>694.12255592759993</v>
      </c>
      <c r="L20" s="35"/>
      <c r="M20" s="33">
        <v>2042.6815527594504</v>
      </c>
      <c r="N20" s="33">
        <v>82.019999999999982</v>
      </c>
      <c r="O20" s="33">
        <v>1960.6615527594504</v>
      </c>
    </row>
    <row r="21" spans="2:15" s="44" customFormat="1" ht="13.5" customHeight="1" x14ac:dyDescent="0.25">
      <c r="B21" s="7" t="s">
        <v>25</v>
      </c>
      <c r="C21" s="33">
        <v>11931.260659248614</v>
      </c>
      <c r="D21" s="33"/>
      <c r="E21" s="33">
        <v>1686.152</v>
      </c>
      <c r="F21" s="33">
        <v>970.62599999999975</v>
      </c>
      <c r="G21" s="39">
        <v>715.52600000000029</v>
      </c>
      <c r="H21" s="35"/>
      <c r="I21" s="33">
        <v>833.70869733500012</v>
      </c>
      <c r="J21" s="33">
        <v>67.679109999999966</v>
      </c>
      <c r="K21" s="33">
        <v>766.0295873350002</v>
      </c>
      <c r="L21" s="35"/>
      <c r="M21" s="33">
        <v>9411.3999619136139</v>
      </c>
      <c r="N21" s="33">
        <v>219.42199999999994</v>
      </c>
      <c r="O21" s="33">
        <v>9191.9779619136134</v>
      </c>
    </row>
    <row r="22" spans="2:15" s="44" customFormat="1" ht="13.5" customHeight="1" x14ac:dyDescent="0.25">
      <c r="B22" s="7" t="s">
        <v>26</v>
      </c>
      <c r="C22" s="33">
        <v>8755.9040672194151</v>
      </c>
      <c r="D22" s="33"/>
      <c r="E22" s="33">
        <v>1264.2799999999997</v>
      </c>
      <c r="F22" s="33">
        <v>644.50399999999979</v>
      </c>
      <c r="G22" s="39">
        <v>619.77600000000007</v>
      </c>
      <c r="H22" s="35"/>
      <c r="I22" s="33">
        <v>1932.1176969765661</v>
      </c>
      <c r="J22" s="33">
        <v>92.015232999999995</v>
      </c>
      <c r="K22" s="33">
        <v>1840.102463976566</v>
      </c>
      <c r="L22" s="35"/>
      <c r="M22" s="33">
        <v>5559.5063702428488</v>
      </c>
      <c r="N22" s="33">
        <v>155.39100000000005</v>
      </c>
      <c r="O22" s="33">
        <v>5404.1153702428492</v>
      </c>
    </row>
    <row r="23" spans="2:15" s="44" customFormat="1" ht="13.5" customHeight="1" x14ac:dyDescent="0.25">
      <c r="B23" s="7" t="s">
        <v>27</v>
      </c>
      <c r="C23" s="33">
        <v>3203.2299998465301</v>
      </c>
      <c r="D23" s="33"/>
      <c r="E23" s="33">
        <v>469.04899999999998</v>
      </c>
      <c r="F23" s="33">
        <v>450.82099999999997</v>
      </c>
      <c r="G23" s="39">
        <v>18.228000000000002</v>
      </c>
      <c r="H23" s="35"/>
      <c r="I23" s="33">
        <v>677.57599984653007</v>
      </c>
      <c r="J23" s="33">
        <v>213.75100000000006</v>
      </c>
      <c r="K23" s="33">
        <v>463.82499984653003</v>
      </c>
      <c r="L23" s="35"/>
      <c r="M23" s="33">
        <v>2056.605</v>
      </c>
      <c r="N23" s="33">
        <v>27.549999999999997</v>
      </c>
      <c r="O23" s="33">
        <v>2029.0549999999998</v>
      </c>
    </row>
    <row r="24" spans="2:15" s="44" customFormat="1" ht="13.5" customHeight="1" x14ac:dyDescent="0.25">
      <c r="B24" s="7" t="s">
        <v>28</v>
      </c>
      <c r="C24" s="33">
        <v>7528.5960702036336</v>
      </c>
      <c r="D24" s="33"/>
      <c r="E24" s="33">
        <v>1684.5049999999994</v>
      </c>
      <c r="F24" s="33">
        <v>1201.9859999999994</v>
      </c>
      <c r="G24" s="39">
        <v>482.51900000000001</v>
      </c>
      <c r="H24" s="35"/>
      <c r="I24" s="33">
        <v>1577.2990338173486</v>
      </c>
      <c r="J24" s="33">
        <v>160.41425082134799</v>
      </c>
      <c r="K24" s="33">
        <v>1416.8847829960005</v>
      </c>
      <c r="L24" s="35"/>
      <c r="M24" s="33">
        <v>4266.7920363862859</v>
      </c>
      <c r="N24" s="33">
        <v>171.99399999999997</v>
      </c>
      <c r="O24" s="33">
        <v>4094.7980363862862</v>
      </c>
    </row>
    <row r="25" spans="2:15" s="44" customFormat="1" ht="13.5" customHeight="1" x14ac:dyDescent="0.25">
      <c r="B25" s="7" t="s">
        <v>29</v>
      </c>
      <c r="C25" s="33">
        <v>847.65744681364504</v>
      </c>
      <c r="D25" s="33"/>
      <c r="E25" s="33">
        <v>124.92700000000002</v>
      </c>
      <c r="F25" s="33">
        <v>93.580000000000013</v>
      </c>
      <c r="G25" s="39">
        <v>31.347000000000001</v>
      </c>
      <c r="H25" s="35"/>
      <c r="I25" s="33">
        <v>283.27022999999997</v>
      </c>
      <c r="J25" s="33">
        <v>102.41299999999998</v>
      </c>
      <c r="K25" s="33">
        <v>180.85722999999999</v>
      </c>
      <c r="L25" s="35"/>
      <c r="M25" s="33">
        <v>439.46021681364499</v>
      </c>
      <c r="N25" s="33">
        <v>19.079999999999998</v>
      </c>
      <c r="O25" s="33">
        <v>420.38021681364501</v>
      </c>
    </row>
    <row r="26" spans="2:15" s="44" customFormat="1" ht="13.5" customHeight="1" x14ac:dyDescent="0.25">
      <c r="B26" s="7" t="s">
        <v>30</v>
      </c>
      <c r="C26" s="33">
        <v>1985.9360490383006</v>
      </c>
      <c r="D26" s="33"/>
      <c r="E26" s="33">
        <v>399.27599999999995</v>
      </c>
      <c r="F26" s="33">
        <v>399.27599999999995</v>
      </c>
      <c r="G26" s="39">
        <v>0</v>
      </c>
      <c r="H26" s="35"/>
      <c r="I26" s="33">
        <v>203.14000000000001</v>
      </c>
      <c r="J26" s="33">
        <v>3.673</v>
      </c>
      <c r="K26" s="33">
        <v>199.46700000000001</v>
      </c>
      <c r="L26" s="35"/>
      <c r="M26" s="33">
        <v>1383.5200490383006</v>
      </c>
      <c r="N26" s="33">
        <v>5.07</v>
      </c>
      <c r="O26" s="33">
        <v>1378.4500490383007</v>
      </c>
    </row>
    <row r="27" spans="2:15" s="44" customFormat="1" ht="13.5" customHeight="1" x14ac:dyDescent="0.25">
      <c r="B27" s="7" t="s">
        <v>31</v>
      </c>
      <c r="C27" s="33">
        <v>2647.0240960970114</v>
      </c>
      <c r="D27" s="33"/>
      <c r="E27" s="33">
        <v>469.24500000000012</v>
      </c>
      <c r="F27" s="33">
        <v>469.24500000000012</v>
      </c>
      <c r="G27" s="39">
        <v>0</v>
      </c>
      <c r="H27" s="35"/>
      <c r="I27" s="33">
        <v>908.93209609701125</v>
      </c>
      <c r="J27" s="33">
        <v>91.376569245211002</v>
      </c>
      <c r="K27" s="33">
        <v>817.55552685180021</v>
      </c>
      <c r="L27" s="35"/>
      <c r="M27" s="33">
        <v>1268.847</v>
      </c>
      <c r="N27" s="33">
        <v>99.75</v>
      </c>
      <c r="O27" s="33">
        <v>1169.097</v>
      </c>
    </row>
    <row r="28" spans="2:15" s="44" customFormat="1" ht="13.5" customHeight="1" x14ac:dyDescent="0.25">
      <c r="B28" s="7" t="s">
        <v>32</v>
      </c>
      <c r="C28" s="33">
        <v>3286.1878536679906</v>
      </c>
      <c r="D28" s="33"/>
      <c r="E28" s="33">
        <v>591.14699999999993</v>
      </c>
      <c r="F28" s="33">
        <v>279.50799999999998</v>
      </c>
      <c r="G28" s="39">
        <v>311.63900000000001</v>
      </c>
      <c r="H28" s="35"/>
      <c r="I28" s="33">
        <v>607.57549150335012</v>
      </c>
      <c r="J28" s="33">
        <v>34.434956</v>
      </c>
      <c r="K28" s="33">
        <v>573.14053550335007</v>
      </c>
      <c r="L28" s="35"/>
      <c r="M28" s="33">
        <v>2087.4653621646403</v>
      </c>
      <c r="N28" s="33">
        <v>0</v>
      </c>
      <c r="O28" s="33">
        <v>2087.4653621646403</v>
      </c>
    </row>
    <row r="29" spans="2:15" s="44" customFormat="1" ht="13.5" customHeight="1" x14ac:dyDescent="0.25">
      <c r="B29" s="7" t="s">
        <v>34</v>
      </c>
      <c r="C29" s="33">
        <v>8948.4309686683791</v>
      </c>
      <c r="D29" s="33"/>
      <c r="E29" s="33">
        <v>1740.5379999999991</v>
      </c>
      <c r="F29" s="33">
        <v>1405.262999999999</v>
      </c>
      <c r="G29" s="39">
        <v>335.27499999999998</v>
      </c>
      <c r="H29" s="35"/>
      <c r="I29" s="33">
        <v>589.72300233989597</v>
      </c>
      <c r="J29" s="33">
        <v>167.47800208219599</v>
      </c>
      <c r="K29" s="33">
        <v>422.24500025769999</v>
      </c>
      <c r="L29" s="35"/>
      <c r="M29" s="33">
        <v>6618.1699663284835</v>
      </c>
      <c r="N29" s="33">
        <v>171.14999999999992</v>
      </c>
      <c r="O29" s="33">
        <v>6447.0199663284839</v>
      </c>
    </row>
    <row r="30" spans="2:15" s="44" customFormat="1" ht="13.5" customHeight="1" x14ac:dyDescent="0.25">
      <c r="B30" s="7" t="s">
        <v>35</v>
      </c>
      <c r="C30" s="33">
        <v>13187.256407364868</v>
      </c>
      <c r="D30" s="33"/>
      <c r="E30" s="33">
        <v>2017.0680000000002</v>
      </c>
      <c r="F30" s="33">
        <v>1481.952</v>
      </c>
      <c r="G30" s="39">
        <v>535.1160000000001</v>
      </c>
      <c r="H30" s="35"/>
      <c r="I30" s="33">
        <v>2340.0180765335049</v>
      </c>
      <c r="J30" s="33">
        <v>416.43751499500019</v>
      </c>
      <c r="K30" s="33">
        <v>1923.5805615385045</v>
      </c>
      <c r="L30" s="35"/>
      <c r="M30" s="33">
        <v>8830.1703308313627</v>
      </c>
      <c r="N30" s="33">
        <v>43.013411404492437</v>
      </c>
      <c r="O30" s="33">
        <v>8787.1569194268704</v>
      </c>
    </row>
    <row r="31" spans="2:15" s="44" customFormat="1" ht="13.5" customHeight="1" x14ac:dyDescent="0.25">
      <c r="B31" s="7" t="s">
        <v>36</v>
      </c>
      <c r="C31" s="39">
        <v>5281.2655095807895</v>
      </c>
      <c r="D31" s="39"/>
      <c r="E31" s="39">
        <v>873.20900000000006</v>
      </c>
      <c r="F31" s="33">
        <v>728.44600000000003</v>
      </c>
      <c r="G31" s="39">
        <v>144.76300000000001</v>
      </c>
      <c r="H31" s="35"/>
      <c r="I31" s="39">
        <v>969.52420958078994</v>
      </c>
      <c r="J31" s="33">
        <v>161.3699981636</v>
      </c>
      <c r="K31" s="33">
        <v>808.15421141718991</v>
      </c>
      <c r="L31" s="35"/>
      <c r="M31" s="33">
        <v>3438.5322999999999</v>
      </c>
      <c r="N31" s="33">
        <v>0.09</v>
      </c>
      <c r="O31" s="33">
        <v>3438.4422999999997</v>
      </c>
    </row>
    <row r="32" spans="2:15" s="44" customFormat="1" ht="13.5" customHeight="1" x14ac:dyDescent="0.25">
      <c r="B32" s="7" t="s">
        <v>37</v>
      </c>
      <c r="C32" s="39">
        <v>2518.6403845579407</v>
      </c>
      <c r="D32" s="39"/>
      <c r="E32" s="39">
        <v>636.84699999999998</v>
      </c>
      <c r="F32" s="33">
        <v>470.86</v>
      </c>
      <c r="G32" s="39">
        <v>165.98700000000002</v>
      </c>
      <c r="H32" s="35"/>
      <c r="I32" s="39">
        <v>489.70338455794001</v>
      </c>
      <c r="J32" s="33">
        <v>85.002461554139998</v>
      </c>
      <c r="K32" s="33">
        <v>404.70092300380003</v>
      </c>
      <c r="L32" s="35"/>
      <c r="M32" s="33">
        <v>1392.0900000000004</v>
      </c>
      <c r="N32" s="33">
        <v>163.04999999999993</v>
      </c>
      <c r="O32" s="33">
        <v>1229.0400000000004</v>
      </c>
    </row>
    <row r="33" spans="2:15" s="44" customFormat="1" ht="13.5" customHeight="1" x14ac:dyDescent="0.25">
      <c r="B33" s="7" t="s">
        <v>38</v>
      </c>
      <c r="C33" s="39">
        <v>939.86693037502016</v>
      </c>
      <c r="D33" s="39"/>
      <c r="E33" s="39">
        <v>138.47399999999996</v>
      </c>
      <c r="F33" s="33">
        <v>138.47399999999996</v>
      </c>
      <c r="G33" s="39">
        <v>0</v>
      </c>
      <c r="H33" s="35"/>
      <c r="I33" s="39">
        <v>285.27123037502002</v>
      </c>
      <c r="J33" s="33">
        <v>69.509000000000015</v>
      </c>
      <c r="K33" s="33">
        <v>215.76223037502001</v>
      </c>
      <c r="L33" s="35"/>
      <c r="M33" s="33">
        <v>516.12170000000015</v>
      </c>
      <c r="N33" s="33">
        <v>9.33</v>
      </c>
      <c r="O33" s="33">
        <v>506.79170000000016</v>
      </c>
    </row>
    <row r="34" spans="2:15" s="44" customFormat="1" ht="13.5" customHeight="1" thickBot="1" x14ac:dyDescent="0.3">
      <c r="B34" s="13" t="s">
        <v>39</v>
      </c>
      <c r="C34" s="42">
        <v>1919.3729999999998</v>
      </c>
      <c r="D34" s="42"/>
      <c r="E34" s="42">
        <v>327.15200000000004</v>
      </c>
      <c r="F34" s="42">
        <v>221.09500000000003</v>
      </c>
      <c r="G34" s="42">
        <v>106.057</v>
      </c>
      <c r="H34" s="42"/>
      <c r="I34" s="42">
        <v>216.42400000000004</v>
      </c>
      <c r="J34" s="42">
        <v>0</v>
      </c>
      <c r="K34" s="42">
        <v>216.42400000000004</v>
      </c>
      <c r="L34" s="42"/>
      <c r="M34" s="42">
        <v>1375.7969999999998</v>
      </c>
      <c r="N34" s="42">
        <v>10.339999999999998</v>
      </c>
      <c r="O34" s="42">
        <v>1365.4569999999999</v>
      </c>
    </row>
    <row r="35" spans="2:15" ht="42" customHeight="1" x14ac:dyDescent="0.3">
      <c r="B35" s="162" t="s">
        <v>60</v>
      </c>
      <c r="C35" s="162"/>
      <c r="D35" s="162"/>
      <c r="E35" s="162"/>
      <c r="F35" s="162"/>
      <c r="G35" s="162"/>
      <c r="H35" s="162"/>
      <c r="I35" s="162"/>
      <c r="J35" s="162"/>
      <c r="K35" s="162"/>
      <c r="L35" s="162"/>
      <c r="M35" s="162"/>
      <c r="N35" s="162"/>
      <c r="O35" s="162"/>
    </row>
    <row r="36" spans="2:15" ht="15" customHeight="1" x14ac:dyDescent="0.3">
      <c r="B36" s="155" t="s">
        <v>70</v>
      </c>
      <c r="C36" s="155"/>
      <c r="D36" s="155"/>
      <c r="E36" s="155"/>
      <c r="F36" s="155"/>
      <c r="G36" s="155"/>
      <c r="H36" s="155"/>
      <c r="I36" s="155"/>
      <c r="J36" s="155"/>
      <c r="K36" s="155"/>
      <c r="L36" s="155"/>
      <c r="M36" s="155"/>
      <c r="N36" s="155"/>
      <c r="O36" s="155"/>
    </row>
    <row r="37" spans="2:15" ht="11.25" customHeight="1" x14ac:dyDescent="0.3">
      <c r="B37" s="15" t="s">
        <v>116</v>
      </c>
      <c r="C37" s="12"/>
      <c r="D37" s="12"/>
      <c r="E37" s="44"/>
      <c r="F37" s="12"/>
      <c r="G37" s="12"/>
      <c r="H37" s="44"/>
      <c r="I37" s="12"/>
      <c r="J37" s="12"/>
      <c r="K37" s="12"/>
      <c r="L37" s="44"/>
      <c r="M37" s="12"/>
      <c r="N37" s="12"/>
      <c r="O37" s="12"/>
    </row>
    <row r="38" spans="2:15" x14ac:dyDescent="0.3">
      <c r="B38" s="16" t="s">
        <v>43</v>
      </c>
      <c r="C38" s="44"/>
      <c r="D38" s="44"/>
      <c r="E38" s="44"/>
      <c r="F38" s="44"/>
      <c r="G38" s="44"/>
      <c r="H38" s="44"/>
      <c r="I38" s="44"/>
      <c r="J38" s="44"/>
      <c r="K38" s="44"/>
      <c r="L38" s="44"/>
      <c r="M38" s="44"/>
      <c r="N38" s="44"/>
      <c r="O38" s="44"/>
    </row>
    <row r="39" spans="2:15" x14ac:dyDescent="0.3">
      <c r="B39" s="44"/>
      <c r="C39" s="44"/>
      <c r="D39" s="44"/>
      <c r="E39" s="44"/>
      <c r="F39" s="44"/>
      <c r="G39" s="44"/>
      <c r="H39" s="44"/>
      <c r="I39" s="44"/>
      <c r="J39" s="44"/>
      <c r="K39" s="44"/>
      <c r="L39" s="44"/>
      <c r="M39" s="44"/>
      <c r="N39" s="44"/>
    </row>
    <row r="40" spans="2:15" ht="30.75" customHeight="1" x14ac:dyDescent="0.3">
      <c r="B40" s="198" t="s">
        <v>218</v>
      </c>
      <c r="C40" s="198"/>
      <c r="D40" s="198"/>
      <c r="E40" s="198"/>
      <c r="F40" s="198"/>
      <c r="G40" s="198"/>
      <c r="H40" s="198"/>
      <c r="I40" s="198"/>
      <c r="J40" s="198"/>
      <c r="K40" s="198"/>
      <c r="L40" s="198"/>
      <c r="M40" s="198"/>
      <c r="N40" s="198"/>
      <c r="O40" s="198"/>
    </row>
    <row r="41" spans="2:15" ht="28.5" customHeight="1" x14ac:dyDescent="0.3">
      <c r="B41" s="192" t="s">
        <v>74</v>
      </c>
      <c r="C41" s="192"/>
      <c r="D41" s="192"/>
      <c r="E41" s="192"/>
      <c r="F41" s="192"/>
      <c r="G41" s="192"/>
      <c r="H41" s="192"/>
      <c r="I41" s="192"/>
      <c r="J41" s="192"/>
      <c r="K41" s="192"/>
      <c r="L41" s="192"/>
      <c r="M41" s="192"/>
      <c r="N41" s="192"/>
      <c r="O41" s="192"/>
    </row>
    <row r="42" spans="2:15" ht="15" customHeight="1" x14ac:dyDescent="0.3"/>
    <row r="43" spans="2:15" ht="15" customHeight="1" thickBot="1" x14ac:dyDescent="0.35">
      <c r="B43" s="161" t="s">
        <v>2</v>
      </c>
      <c r="C43" s="197"/>
      <c r="D43" s="197"/>
      <c r="E43" s="197"/>
      <c r="F43" s="197"/>
      <c r="G43" s="197"/>
      <c r="H43" s="197"/>
      <c r="I43" s="197"/>
      <c r="J43" s="197"/>
      <c r="K43" s="197"/>
      <c r="L43" s="197"/>
      <c r="M43" s="197"/>
      <c r="N43" s="197"/>
      <c r="O43" s="161"/>
    </row>
    <row r="44" spans="2:15" ht="21.75" customHeight="1" x14ac:dyDescent="0.3">
      <c r="B44" s="147" t="s">
        <v>3</v>
      </c>
      <c r="C44" s="163" t="s">
        <v>4</v>
      </c>
      <c r="D44" s="60"/>
      <c r="E44" s="165" t="s">
        <v>5</v>
      </c>
      <c r="F44" s="165"/>
      <c r="G44" s="165"/>
      <c r="H44" s="61"/>
      <c r="I44" s="147" t="s">
        <v>6</v>
      </c>
      <c r="J44" s="147"/>
      <c r="K44" s="147"/>
      <c r="L44" s="3"/>
      <c r="M44" s="147" t="s">
        <v>7</v>
      </c>
      <c r="N44" s="147"/>
      <c r="O44" s="147"/>
    </row>
    <row r="45" spans="2:15" ht="26.25"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2:15" ht="17.25" customHeight="1" x14ac:dyDescent="0.3">
      <c r="B46" s="55" t="s">
        <v>13</v>
      </c>
      <c r="C46" s="30">
        <v>166765.06004550017</v>
      </c>
      <c r="D46" s="30"/>
      <c r="E46" s="30">
        <v>26791.866999999998</v>
      </c>
      <c r="F46" s="30">
        <v>20367.505999999994</v>
      </c>
      <c r="G46" s="30">
        <v>6424.3609999999999</v>
      </c>
      <c r="H46" s="30"/>
      <c r="I46" s="30">
        <v>27480.98638879514</v>
      </c>
      <c r="J46" s="30">
        <v>3714.0724655602135</v>
      </c>
      <c r="K46" s="30">
        <v>23766.91392323493</v>
      </c>
      <c r="L46" s="30"/>
      <c r="M46" s="30">
        <v>112492.20665670501</v>
      </c>
      <c r="N46" s="30">
        <v>1883.9274114044917</v>
      </c>
      <c r="O46" s="64">
        <v>110608.27924530052</v>
      </c>
    </row>
    <row r="47" spans="2:15" s="44" customFormat="1" ht="13.5" customHeight="1" x14ac:dyDescent="0.25">
      <c r="B47" s="11" t="s">
        <v>14</v>
      </c>
      <c r="C47" s="33">
        <v>3337.4126977585383</v>
      </c>
      <c r="D47" s="33"/>
      <c r="E47" s="33">
        <v>851.92400000000021</v>
      </c>
      <c r="F47" s="33">
        <v>851.92400000000021</v>
      </c>
      <c r="G47" s="39">
        <v>0</v>
      </c>
      <c r="H47" s="35"/>
      <c r="I47" s="33">
        <v>746.539773950989</v>
      </c>
      <c r="J47" s="33">
        <v>31.273</v>
      </c>
      <c r="K47" s="33">
        <v>715.26677395098898</v>
      </c>
      <c r="L47" s="35"/>
      <c r="M47" s="33">
        <v>1738.9489238075494</v>
      </c>
      <c r="N47" s="33">
        <v>0</v>
      </c>
      <c r="O47" s="33">
        <v>1738.9489238075494</v>
      </c>
    </row>
    <row r="48" spans="2:15" s="44" customFormat="1" ht="13.5" customHeight="1" x14ac:dyDescent="0.25">
      <c r="B48" s="7" t="s">
        <v>15</v>
      </c>
      <c r="C48" s="33">
        <v>10820.76690199228</v>
      </c>
      <c r="D48" s="33"/>
      <c r="E48" s="33">
        <v>1893.569</v>
      </c>
      <c r="F48" s="33">
        <v>1223.8089999999997</v>
      </c>
      <c r="G48" s="39">
        <v>669.7600000000001</v>
      </c>
      <c r="H48" s="35"/>
      <c r="I48" s="33">
        <v>1218.600072538459</v>
      </c>
      <c r="J48" s="33">
        <v>482.76159049999995</v>
      </c>
      <c r="K48" s="33">
        <v>735.83848203845912</v>
      </c>
      <c r="L48" s="35"/>
      <c r="M48" s="33">
        <v>7708.5978294538218</v>
      </c>
      <c r="N48" s="33">
        <v>115.67</v>
      </c>
      <c r="O48" s="33">
        <v>7592.9278294538217</v>
      </c>
    </row>
    <row r="49" spans="2:15" s="44" customFormat="1" ht="13.5" customHeight="1" x14ac:dyDescent="0.25">
      <c r="B49" s="7" t="s">
        <v>16</v>
      </c>
      <c r="C49" s="33">
        <v>7494.5696629771282</v>
      </c>
      <c r="D49" s="33"/>
      <c r="E49" s="33">
        <v>1242.9499999999998</v>
      </c>
      <c r="F49" s="33">
        <v>779.36899999999991</v>
      </c>
      <c r="G49" s="39">
        <v>463.5809999999999</v>
      </c>
      <c r="H49" s="35"/>
      <c r="I49" s="33">
        <v>1298.9135033899797</v>
      </c>
      <c r="J49" s="33">
        <v>9.0710000000000015</v>
      </c>
      <c r="K49" s="33">
        <v>1289.8425033899798</v>
      </c>
      <c r="L49" s="35"/>
      <c r="M49" s="33">
        <v>4952.7061595871482</v>
      </c>
      <c r="N49" s="33">
        <v>7.27</v>
      </c>
      <c r="O49" s="33">
        <v>4945.4361595871478</v>
      </c>
    </row>
    <row r="50" spans="2:15" s="44" customFormat="1" ht="13.5" customHeight="1" x14ac:dyDescent="0.25">
      <c r="B50" s="7" t="s">
        <v>17</v>
      </c>
      <c r="C50" s="33">
        <v>9387.7633968387618</v>
      </c>
      <c r="D50" s="33"/>
      <c r="E50" s="33">
        <v>1481.0530000000003</v>
      </c>
      <c r="F50" s="33">
        <v>1199.5750000000005</v>
      </c>
      <c r="G50" s="39">
        <v>281.47799999999995</v>
      </c>
      <c r="H50" s="35"/>
      <c r="I50" s="33">
        <v>1738.919783227748</v>
      </c>
      <c r="J50" s="33">
        <v>571.04092451834799</v>
      </c>
      <c r="K50" s="33">
        <v>1167.8788587094</v>
      </c>
      <c r="L50" s="35"/>
      <c r="M50" s="33">
        <v>6167.7906136110132</v>
      </c>
      <c r="N50" s="33">
        <v>402.28399999999999</v>
      </c>
      <c r="O50" s="33">
        <v>5765.5066136110136</v>
      </c>
    </row>
    <row r="51" spans="2:15" s="44" customFormat="1" ht="13.5" customHeight="1" x14ac:dyDescent="0.25">
      <c r="B51" s="7" t="s">
        <v>18</v>
      </c>
      <c r="C51" s="33">
        <v>12353.68514431832</v>
      </c>
      <c r="D51" s="33"/>
      <c r="E51" s="33">
        <v>1802.443</v>
      </c>
      <c r="F51" s="33">
        <v>1641.596</v>
      </c>
      <c r="G51" s="39">
        <v>160.84699999999998</v>
      </c>
      <c r="H51" s="35"/>
      <c r="I51" s="33">
        <v>1853.7263332818397</v>
      </c>
      <c r="J51" s="33">
        <v>264.79503021022003</v>
      </c>
      <c r="K51" s="33">
        <v>1588.9313030716198</v>
      </c>
      <c r="L51" s="35"/>
      <c r="M51" s="33">
        <v>8697.515811036481</v>
      </c>
      <c r="N51" s="33">
        <v>18.939999999999998</v>
      </c>
      <c r="O51" s="33">
        <v>8678.5758110364804</v>
      </c>
    </row>
    <row r="52" spans="2:15" s="44" customFormat="1" ht="13.5" customHeight="1" x14ac:dyDescent="0.25">
      <c r="B52" s="7" t="s">
        <v>19</v>
      </c>
      <c r="C52" s="33">
        <v>14719.053692620113</v>
      </c>
      <c r="D52" s="33"/>
      <c r="E52" s="33">
        <v>1738.9439999999991</v>
      </c>
      <c r="F52" s="33">
        <v>1403.367999999999</v>
      </c>
      <c r="G52" s="39">
        <v>335.57600000000002</v>
      </c>
      <c r="H52" s="35"/>
      <c r="I52" s="33">
        <v>874.68330102716027</v>
      </c>
      <c r="J52" s="33">
        <v>31.779000404580003</v>
      </c>
      <c r="K52" s="33">
        <v>842.90430062258031</v>
      </c>
      <c r="L52" s="35"/>
      <c r="M52" s="33">
        <v>12105.426391592953</v>
      </c>
      <c r="N52" s="33">
        <v>41.009999999999984</v>
      </c>
      <c r="O52" s="33">
        <v>12064.416391592953</v>
      </c>
    </row>
    <row r="53" spans="2:15" s="44" customFormat="1" ht="13.5" customHeight="1" x14ac:dyDescent="0.25">
      <c r="B53" s="7" t="s">
        <v>20</v>
      </c>
      <c r="C53" s="33">
        <v>50.27797000000001</v>
      </c>
      <c r="D53" s="33"/>
      <c r="E53" s="33">
        <v>43.38000000000001</v>
      </c>
      <c r="F53" s="33">
        <v>43.38000000000001</v>
      </c>
      <c r="G53" s="39">
        <v>0</v>
      </c>
      <c r="H53" s="35"/>
      <c r="I53" s="33">
        <v>6.8979700000000008</v>
      </c>
      <c r="J53" s="33">
        <v>5.15</v>
      </c>
      <c r="K53" s="33">
        <v>1.74797</v>
      </c>
      <c r="L53" s="35"/>
      <c r="M53" s="33">
        <v>0</v>
      </c>
      <c r="N53" s="33">
        <v>0</v>
      </c>
      <c r="O53" s="33">
        <v>0</v>
      </c>
    </row>
    <row r="54" spans="2:15" s="44" customFormat="1" ht="13.5" customHeight="1" x14ac:dyDescent="0.25">
      <c r="B54" s="7" t="s">
        <v>21</v>
      </c>
      <c r="C54" s="33">
        <v>15525.341747963679</v>
      </c>
      <c r="D54" s="33"/>
      <c r="E54" s="33">
        <v>1897.0509999999999</v>
      </c>
      <c r="F54" s="33">
        <v>1533.163</v>
      </c>
      <c r="G54" s="39">
        <v>363.88800000000003</v>
      </c>
      <c r="H54" s="35"/>
      <c r="I54" s="33">
        <v>2919.552247743939</v>
      </c>
      <c r="J54" s="33">
        <v>565.32008554395998</v>
      </c>
      <c r="K54" s="33">
        <v>2354.232162199979</v>
      </c>
      <c r="L54" s="35"/>
      <c r="M54" s="33">
        <v>10708.738500219741</v>
      </c>
      <c r="N54" s="33">
        <v>124.66299999999994</v>
      </c>
      <c r="O54" s="33">
        <v>10584.07550021974</v>
      </c>
    </row>
    <row r="55" spans="2:15" s="44" customFormat="1" ht="13.5" customHeight="1" x14ac:dyDescent="0.25">
      <c r="B55" s="7" t="s">
        <v>22</v>
      </c>
      <c r="C55" s="33">
        <v>8232.3214610306823</v>
      </c>
      <c r="D55" s="33"/>
      <c r="E55" s="33">
        <v>1403.6499999999996</v>
      </c>
      <c r="F55" s="33">
        <v>1181.2169999999996</v>
      </c>
      <c r="G55" s="39">
        <v>222.43299999999999</v>
      </c>
      <c r="H55" s="35"/>
      <c r="I55" s="33">
        <v>2002.2609162592303</v>
      </c>
      <c r="J55" s="33">
        <v>21.2944</v>
      </c>
      <c r="K55" s="33">
        <v>1980.9665162592303</v>
      </c>
      <c r="L55" s="35"/>
      <c r="M55" s="33">
        <v>4826.4105447714519</v>
      </c>
      <c r="N55" s="33">
        <v>0.66</v>
      </c>
      <c r="O55" s="33">
        <v>4825.750544771452</v>
      </c>
    </row>
    <row r="56" spans="2:15" s="44" customFormat="1" ht="13.5" customHeight="1" x14ac:dyDescent="0.25">
      <c r="B56" s="7" t="s">
        <v>23</v>
      </c>
      <c r="C56" s="33">
        <v>7736.5347192001191</v>
      </c>
      <c r="D56" s="33"/>
      <c r="E56" s="33">
        <v>1318.2529999999999</v>
      </c>
      <c r="F56" s="33">
        <v>551.91</v>
      </c>
      <c r="G56" s="39">
        <v>766.34299999999996</v>
      </c>
      <c r="H56" s="35"/>
      <c r="I56" s="33">
        <v>772.43971920011995</v>
      </c>
      <c r="J56" s="33">
        <v>16.68417617319</v>
      </c>
      <c r="K56" s="33">
        <v>755.7555430269299</v>
      </c>
      <c r="L56" s="35"/>
      <c r="M56" s="33">
        <v>5645.8419999999987</v>
      </c>
      <c r="N56" s="33">
        <v>4.2</v>
      </c>
      <c r="O56" s="33">
        <v>5641.6419999999989</v>
      </c>
    </row>
    <row r="57" spans="2:15" s="44" customFormat="1" ht="13.5" customHeight="1" x14ac:dyDescent="0.25">
      <c r="B57" s="7" t="s">
        <v>24</v>
      </c>
      <c r="C57" s="33">
        <v>3483.6211086870503</v>
      </c>
      <c r="D57" s="33"/>
      <c r="E57" s="33">
        <v>697.87600000000009</v>
      </c>
      <c r="F57" s="33">
        <v>680.71900000000005</v>
      </c>
      <c r="G57" s="39">
        <v>17.157</v>
      </c>
      <c r="H57" s="35"/>
      <c r="I57" s="33">
        <v>743.06355592759996</v>
      </c>
      <c r="J57" s="33">
        <v>48.940999999999995</v>
      </c>
      <c r="K57" s="33">
        <v>694.12255592759993</v>
      </c>
      <c r="L57" s="35"/>
      <c r="M57" s="33">
        <v>2042.6815527594504</v>
      </c>
      <c r="N57" s="33">
        <v>82.019999999999982</v>
      </c>
      <c r="O57" s="33">
        <v>1960.6615527594504</v>
      </c>
    </row>
    <row r="58" spans="2:15" s="44" customFormat="1" ht="13.5" customHeight="1" x14ac:dyDescent="0.25">
      <c r="B58" s="7" t="s">
        <v>25</v>
      </c>
      <c r="C58" s="33">
        <v>11969.4436514304</v>
      </c>
      <c r="D58" s="33"/>
      <c r="E58" s="33">
        <v>1686.152</v>
      </c>
      <c r="F58" s="33">
        <v>970.62599999999998</v>
      </c>
      <c r="G58" s="39">
        <v>715.52600000000007</v>
      </c>
      <c r="H58" s="35"/>
      <c r="I58" s="33">
        <v>1135.044544034422</v>
      </c>
      <c r="J58" s="33">
        <v>67.679109999999966</v>
      </c>
      <c r="K58" s="33">
        <v>1067.3654340344219</v>
      </c>
      <c r="L58" s="35"/>
      <c r="M58" s="33">
        <v>9148.2471073959769</v>
      </c>
      <c r="N58" s="33">
        <v>219.42199999999997</v>
      </c>
      <c r="O58" s="33">
        <v>8928.8251073959764</v>
      </c>
    </row>
    <row r="59" spans="2:15" s="44" customFormat="1" ht="13.5" customHeight="1" x14ac:dyDescent="0.25">
      <c r="B59" s="7" t="s">
        <v>26</v>
      </c>
      <c r="C59" s="33">
        <v>8755.9040672194151</v>
      </c>
      <c r="D59" s="33"/>
      <c r="E59" s="33">
        <v>1264.2800000000002</v>
      </c>
      <c r="F59" s="33">
        <v>644.50400000000002</v>
      </c>
      <c r="G59" s="39">
        <v>619.77600000000007</v>
      </c>
      <c r="H59" s="35"/>
      <c r="I59" s="33">
        <v>1932.1176969765661</v>
      </c>
      <c r="J59" s="33">
        <v>92.015232999999995</v>
      </c>
      <c r="K59" s="33">
        <v>1840.102463976566</v>
      </c>
      <c r="L59" s="35"/>
      <c r="M59" s="33">
        <v>5559.5063702428488</v>
      </c>
      <c r="N59" s="33">
        <v>155.39100000000005</v>
      </c>
      <c r="O59" s="33">
        <v>5404.1153702428492</v>
      </c>
    </row>
    <row r="60" spans="2:15" s="44" customFormat="1" ht="13.5" customHeight="1" x14ac:dyDescent="0.25">
      <c r="B60" s="7" t="s">
        <v>27</v>
      </c>
      <c r="C60" s="33">
        <v>3198.0920998465299</v>
      </c>
      <c r="D60" s="33"/>
      <c r="E60" s="33">
        <v>469.04900000000004</v>
      </c>
      <c r="F60" s="33">
        <v>450.82100000000003</v>
      </c>
      <c r="G60" s="39">
        <v>18.228000000000002</v>
      </c>
      <c r="H60" s="35"/>
      <c r="I60" s="33">
        <v>672.43809984653012</v>
      </c>
      <c r="J60" s="33">
        <v>208.61310000000006</v>
      </c>
      <c r="K60" s="33">
        <v>463.82499984653003</v>
      </c>
      <c r="L60" s="35"/>
      <c r="M60" s="33">
        <v>2056.605</v>
      </c>
      <c r="N60" s="33">
        <v>27.549999999999997</v>
      </c>
      <c r="O60" s="33">
        <v>2029.0549999999998</v>
      </c>
    </row>
    <row r="61" spans="2:15" s="44" customFormat="1" ht="13.5" customHeight="1" x14ac:dyDescent="0.25">
      <c r="B61" s="7" t="s">
        <v>28</v>
      </c>
      <c r="C61" s="33">
        <v>7528.5960702036336</v>
      </c>
      <c r="D61" s="33"/>
      <c r="E61" s="33">
        <v>1684.5049999999997</v>
      </c>
      <c r="F61" s="33">
        <v>1193.6189999999997</v>
      </c>
      <c r="G61" s="39">
        <v>490.88600000000008</v>
      </c>
      <c r="H61" s="35"/>
      <c r="I61" s="33">
        <v>1577.2990338173486</v>
      </c>
      <c r="J61" s="33">
        <v>160.41425082134799</v>
      </c>
      <c r="K61" s="33">
        <v>1416.8847829960005</v>
      </c>
      <c r="L61" s="35"/>
      <c r="M61" s="33">
        <v>4266.7920363862859</v>
      </c>
      <c r="N61" s="33">
        <v>171.99399999999997</v>
      </c>
      <c r="O61" s="33">
        <v>4094.7980363862862</v>
      </c>
    </row>
    <row r="62" spans="2:15" s="44" customFormat="1" ht="13.5" customHeight="1" x14ac:dyDescent="0.25">
      <c r="B62" s="7" t="s">
        <v>29</v>
      </c>
      <c r="C62" s="33">
        <v>844.32944681364506</v>
      </c>
      <c r="D62" s="33"/>
      <c r="E62" s="33">
        <v>124.92700000000002</v>
      </c>
      <c r="F62" s="33">
        <v>93.580000000000013</v>
      </c>
      <c r="G62" s="39">
        <v>31.347000000000001</v>
      </c>
      <c r="H62" s="35"/>
      <c r="I62" s="33">
        <v>279.94223</v>
      </c>
      <c r="J62" s="33">
        <v>102.41299999999998</v>
      </c>
      <c r="K62" s="33">
        <v>177.52922999999998</v>
      </c>
      <c r="L62" s="35"/>
      <c r="M62" s="33">
        <v>439.46021681364499</v>
      </c>
      <c r="N62" s="33">
        <v>19.079999999999998</v>
      </c>
      <c r="O62" s="33">
        <v>420.38021681364501</v>
      </c>
    </row>
    <row r="63" spans="2:15" s="44" customFormat="1" ht="13.5" customHeight="1" x14ac:dyDescent="0.25">
      <c r="B63" s="7" t="s">
        <v>30</v>
      </c>
      <c r="C63" s="33">
        <v>1991.6190490383005</v>
      </c>
      <c r="D63" s="33"/>
      <c r="E63" s="33">
        <v>399.27600000000001</v>
      </c>
      <c r="F63" s="33">
        <v>399.27600000000001</v>
      </c>
      <c r="G63" s="39">
        <v>0</v>
      </c>
      <c r="H63" s="35"/>
      <c r="I63" s="33">
        <v>208.82300000000004</v>
      </c>
      <c r="J63" s="33">
        <v>3.673</v>
      </c>
      <c r="K63" s="33">
        <v>205.15000000000003</v>
      </c>
      <c r="L63" s="35"/>
      <c r="M63" s="33">
        <v>1383.5200490383006</v>
      </c>
      <c r="N63" s="33">
        <v>5.07</v>
      </c>
      <c r="O63" s="33">
        <v>1378.4500490383007</v>
      </c>
    </row>
    <row r="64" spans="2:15" s="44" customFormat="1" ht="13.5" customHeight="1" x14ac:dyDescent="0.25">
      <c r="B64" s="7" t="s">
        <v>31</v>
      </c>
      <c r="C64" s="33">
        <v>2647.0240960970114</v>
      </c>
      <c r="D64" s="33"/>
      <c r="E64" s="33">
        <v>469.24500000000023</v>
      </c>
      <c r="F64" s="33">
        <v>469.24500000000023</v>
      </c>
      <c r="G64" s="39">
        <v>0</v>
      </c>
      <c r="H64" s="35"/>
      <c r="I64" s="33">
        <v>908.93209609701125</v>
      </c>
      <c r="J64" s="33">
        <v>91.376569245210987</v>
      </c>
      <c r="K64" s="33">
        <v>817.55552685180021</v>
      </c>
      <c r="L64" s="35"/>
      <c r="M64" s="33">
        <v>1268.8469999999998</v>
      </c>
      <c r="N64" s="33">
        <v>99.75</v>
      </c>
      <c r="O64" s="33">
        <v>1169.0969999999998</v>
      </c>
    </row>
    <row r="65" spans="2:15" s="44" customFormat="1" ht="13.5" customHeight="1" x14ac:dyDescent="0.25">
      <c r="B65" s="7" t="s">
        <v>32</v>
      </c>
      <c r="C65" s="33">
        <v>3286.1878536679906</v>
      </c>
      <c r="D65" s="33"/>
      <c r="E65" s="33">
        <v>591.14699999999993</v>
      </c>
      <c r="F65" s="33">
        <v>279.50799999999998</v>
      </c>
      <c r="G65" s="39">
        <v>311.63900000000001</v>
      </c>
      <c r="H65" s="35"/>
      <c r="I65" s="33">
        <v>607.57549150335012</v>
      </c>
      <c r="J65" s="33">
        <v>34.434956</v>
      </c>
      <c r="K65" s="33">
        <v>573.14053550335007</v>
      </c>
      <c r="L65" s="35"/>
      <c r="M65" s="33">
        <v>2087.4653621646403</v>
      </c>
      <c r="N65" s="33">
        <v>0</v>
      </c>
      <c r="O65" s="33">
        <v>2087.4653621646403</v>
      </c>
    </row>
    <row r="66" spans="2:15" s="44" customFormat="1" ht="13.5" customHeight="1" x14ac:dyDescent="0.25">
      <c r="B66" s="7" t="s">
        <v>34</v>
      </c>
      <c r="C66" s="33">
        <v>8948.430968668381</v>
      </c>
      <c r="D66" s="33"/>
      <c r="E66" s="33">
        <v>1740.5379999999996</v>
      </c>
      <c r="F66" s="33">
        <v>1468.4569999999994</v>
      </c>
      <c r="G66" s="39">
        <v>272.08100000000002</v>
      </c>
      <c r="H66" s="35"/>
      <c r="I66" s="33">
        <v>589.72300233989597</v>
      </c>
      <c r="J66" s="33">
        <v>167.47800208219599</v>
      </c>
      <c r="K66" s="33">
        <v>422.24500025769999</v>
      </c>
      <c r="L66" s="35"/>
      <c r="M66" s="33">
        <v>6618.1699663284844</v>
      </c>
      <c r="N66" s="33">
        <v>171.14999999999992</v>
      </c>
      <c r="O66" s="33">
        <v>6447.0199663284848</v>
      </c>
    </row>
    <row r="67" spans="2:15" s="44" customFormat="1" ht="13.5" customHeight="1" x14ac:dyDescent="0.25">
      <c r="B67" s="7" t="s">
        <v>35</v>
      </c>
      <c r="C67" s="33">
        <v>13211.446121991328</v>
      </c>
      <c r="D67" s="33"/>
      <c r="E67" s="33">
        <v>2017.068</v>
      </c>
      <c r="F67" s="33">
        <v>1676.01</v>
      </c>
      <c r="G67" s="39">
        <v>341.05799999999999</v>
      </c>
      <c r="H67" s="35"/>
      <c r="I67" s="33">
        <v>2367.999216263855</v>
      </c>
      <c r="J67" s="33">
        <v>416.43751499500019</v>
      </c>
      <c r="K67" s="33">
        <v>1951.5617012688547</v>
      </c>
      <c r="L67" s="35"/>
      <c r="M67" s="33">
        <v>8826.3789057274735</v>
      </c>
      <c r="N67" s="33">
        <v>43.013411404492437</v>
      </c>
      <c r="O67" s="33">
        <v>8783.3654943229812</v>
      </c>
    </row>
    <row r="68" spans="2:15" s="44" customFormat="1" ht="13.5" customHeight="1" x14ac:dyDescent="0.25">
      <c r="B68" s="7" t="s">
        <v>36</v>
      </c>
      <c r="C68" s="39">
        <v>5277.857509580791</v>
      </c>
      <c r="D68" s="39"/>
      <c r="E68" s="39">
        <v>873.20900000000029</v>
      </c>
      <c r="F68" s="33">
        <v>728.44600000000025</v>
      </c>
      <c r="G68" s="39">
        <v>144.76300000000001</v>
      </c>
      <c r="H68" s="35"/>
      <c r="I68" s="39">
        <v>966.11620958078993</v>
      </c>
      <c r="J68" s="33">
        <v>161.3699981636</v>
      </c>
      <c r="K68" s="33">
        <v>804.7462114171899</v>
      </c>
      <c r="L68" s="35"/>
      <c r="M68" s="39">
        <v>3438.5323000000008</v>
      </c>
      <c r="N68" s="33">
        <v>0.09</v>
      </c>
      <c r="O68" s="33">
        <v>3438.4423000000006</v>
      </c>
    </row>
    <row r="69" spans="2:15" s="44" customFormat="1" ht="13.5" customHeight="1" x14ac:dyDescent="0.25">
      <c r="B69" s="7" t="s">
        <v>37</v>
      </c>
      <c r="C69" s="39">
        <v>2517.5453845579405</v>
      </c>
      <c r="D69" s="39"/>
      <c r="E69" s="39">
        <v>635.75199999999995</v>
      </c>
      <c r="F69" s="33">
        <v>543.298</v>
      </c>
      <c r="G69" s="39">
        <v>92.454000000000008</v>
      </c>
      <c r="H69" s="35"/>
      <c r="I69" s="39">
        <v>489.70338455794001</v>
      </c>
      <c r="J69" s="33">
        <v>85.002461554139998</v>
      </c>
      <c r="K69" s="33">
        <v>404.70092300380003</v>
      </c>
      <c r="L69" s="35"/>
      <c r="M69" s="39">
        <v>1392.0900000000004</v>
      </c>
      <c r="N69" s="33">
        <v>163.04999999999993</v>
      </c>
      <c r="O69" s="33">
        <v>1229.0400000000004</v>
      </c>
    </row>
    <row r="70" spans="2:15" s="44" customFormat="1" ht="13.5" customHeight="1" x14ac:dyDescent="0.25">
      <c r="B70" s="7" t="s">
        <v>38</v>
      </c>
      <c r="C70" s="39">
        <v>939.86693037502016</v>
      </c>
      <c r="D70" s="39"/>
      <c r="E70" s="39">
        <v>138.47399999999996</v>
      </c>
      <c r="F70" s="33">
        <v>138.47399999999996</v>
      </c>
      <c r="G70" s="39">
        <v>0</v>
      </c>
      <c r="H70" s="35"/>
      <c r="I70" s="39">
        <v>285.27123037502002</v>
      </c>
      <c r="J70" s="33">
        <v>69.509000000000015</v>
      </c>
      <c r="K70" s="33">
        <v>215.76223037502001</v>
      </c>
      <c r="L70" s="35"/>
      <c r="M70" s="39">
        <v>516.12170000000015</v>
      </c>
      <c r="N70" s="33">
        <v>9.33</v>
      </c>
      <c r="O70" s="33">
        <v>506.79170000000016</v>
      </c>
    </row>
    <row r="71" spans="2:15" s="44" customFormat="1" ht="13.5" customHeight="1" thickBot="1" x14ac:dyDescent="0.3">
      <c r="B71" s="13" t="s">
        <v>39</v>
      </c>
      <c r="C71" s="42">
        <v>2507.3682926230999</v>
      </c>
      <c r="D71" s="42"/>
      <c r="E71" s="42">
        <v>327.15200000000004</v>
      </c>
      <c r="F71" s="42">
        <v>221.61200000000002</v>
      </c>
      <c r="G71" s="42">
        <v>105.53999999999999</v>
      </c>
      <c r="H71" s="42"/>
      <c r="I71" s="42">
        <v>1284.4039768553498</v>
      </c>
      <c r="J71" s="42">
        <v>5.5460623484199996</v>
      </c>
      <c r="K71" s="42">
        <v>1278.8579145069298</v>
      </c>
      <c r="L71" s="42"/>
      <c r="M71" s="42">
        <v>895.81231576774996</v>
      </c>
      <c r="N71" s="42">
        <v>2.3200000000000003</v>
      </c>
      <c r="O71" s="42">
        <v>893.49231576774991</v>
      </c>
    </row>
    <row r="72" spans="2:15" s="44" customFormat="1" ht="33" customHeight="1" x14ac:dyDescent="0.25">
      <c r="B72" s="199" t="s">
        <v>60</v>
      </c>
      <c r="C72" s="199"/>
      <c r="D72" s="199"/>
      <c r="E72" s="199"/>
      <c r="F72" s="199"/>
      <c r="G72" s="199"/>
      <c r="H72" s="199"/>
      <c r="I72" s="199"/>
      <c r="J72" s="199"/>
      <c r="K72" s="199"/>
      <c r="L72" s="199"/>
      <c r="M72" s="199"/>
      <c r="N72" s="199"/>
      <c r="O72" s="199"/>
    </row>
    <row r="73" spans="2:15" s="44" customFormat="1" ht="13.5" x14ac:dyDescent="0.25">
      <c r="B73" s="196" t="s">
        <v>70</v>
      </c>
      <c r="C73" s="196"/>
      <c r="D73" s="196"/>
      <c r="E73" s="196"/>
      <c r="F73" s="196"/>
      <c r="G73" s="196"/>
      <c r="H73" s="196"/>
      <c r="I73" s="196"/>
      <c r="J73" s="196"/>
      <c r="K73" s="196"/>
      <c r="L73" s="196"/>
      <c r="M73" s="196"/>
      <c r="N73" s="196"/>
      <c r="O73" s="196"/>
    </row>
    <row r="74" spans="2:15" s="44" customFormat="1" ht="11.25" customHeight="1" x14ac:dyDescent="0.25">
      <c r="B74" s="96" t="s">
        <v>117</v>
      </c>
      <c r="C74" s="97"/>
      <c r="D74" s="97"/>
      <c r="E74" s="78"/>
      <c r="F74" s="97"/>
      <c r="G74" s="97"/>
      <c r="H74" s="78"/>
      <c r="I74" s="97"/>
      <c r="J74" s="97"/>
      <c r="K74" s="97"/>
      <c r="L74" s="78"/>
      <c r="M74" s="97"/>
      <c r="N74" s="97"/>
      <c r="O74" s="97"/>
    </row>
    <row r="75" spans="2:15" s="44" customFormat="1" ht="13.5" x14ac:dyDescent="0.25">
      <c r="B75" s="71" t="s">
        <v>43</v>
      </c>
      <c r="C75" s="78"/>
      <c r="D75" s="78"/>
      <c r="E75" s="78"/>
      <c r="F75" s="78"/>
      <c r="G75" s="78"/>
      <c r="H75" s="78"/>
      <c r="I75" s="78"/>
      <c r="J75" s="78"/>
      <c r="K75" s="78"/>
      <c r="L75" s="78"/>
      <c r="M75" s="78"/>
      <c r="N75" s="78"/>
      <c r="O75" s="78"/>
    </row>
  </sheetData>
  <mergeCells count="21">
    <mergeCell ref="B72:O72"/>
    <mergeCell ref="B73:O73"/>
    <mergeCell ref="B44:B45"/>
    <mergeCell ref="C44:C45"/>
    <mergeCell ref="E44:G44"/>
    <mergeCell ref="I44:K44"/>
    <mergeCell ref="M44:O44"/>
    <mergeCell ref="B43:O43"/>
    <mergeCell ref="B41:O41"/>
    <mergeCell ref="B35:O35"/>
    <mergeCell ref="B36:O36"/>
    <mergeCell ref="B40:O40"/>
    <mergeCell ref="B6:O6"/>
    <mergeCell ref="B4:O4"/>
    <mergeCell ref="B2:O2"/>
    <mergeCell ref="B3:O3"/>
    <mergeCell ref="B7:B8"/>
    <mergeCell ref="C7:C8"/>
    <mergeCell ref="E7:G7"/>
    <mergeCell ref="I7:K7"/>
    <mergeCell ref="M7:O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P80"/>
  <sheetViews>
    <sheetView topLeftCell="A25" zoomScale="60" zoomScaleNormal="60" workbookViewId="0">
      <selection activeCell="J75" sqref="J75"/>
    </sheetView>
  </sheetViews>
  <sheetFormatPr baseColWidth="10" defaultColWidth="11.42578125" defaultRowHeight="16.5" x14ac:dyDescent="0.3"/>
  <cols>
    <col min="1" max="1" width="5.28515625" style="1" customWidth="1"/>
    <col min="2" max="2" width="22.7109375" style="1" customWidth="1"/>
    <col min="3" max="3" width="15.5703125" style="1" customWidth="1"/>
    <col min="4" max="4" width="3.7109375" style="1" customWidth="1"/>
    <col min="5" max="5" width="11.42578125" style="1"/>
    <col min="6" max="6" width="15" style="1" customWidth="1"/>
    <col min="7" max="7" width="17.28515625" style="1" customWidth="1"/>
    <col min="8" max="8" width="2" style="1" customWidth="1"/>
    <col min="9" max="9" width="11.42578125" style="1"/>
    <col min="10" max="10" width="12.28515625" style="1" bestFit="1" customWidth="1"/>
    <col min="11" max="11" width="16.5703125" style="1" customWidth="1"/>
    <col min="12" max="12" width="5.28515625" style="1" customWidth="1"/>
    <col min="13" max="13" width="11.42578125" style="1"/>
    <col min="14" max="14" width="14.42578125" style="1" customWidth="1"/>
    <col min="15" max="15" width="16.28515625" style="1" customWidth="1"/>
    <col min="16" max="16" width="4.42578125" style="1" customWidth="1"/>
    <col min="17" max="16384" width="11.42578125" style="1"/>
  </cols>
  <sheetData>
    <row r="3" spans="2:16" ht="30.75" customHeight="1" x14ac:dyDescent="0.3">
      <c r="B3" s="159" t="s">
        <v>136</v>
      </c>
      <c r="C3" s="159"/>
      <c r="D3" s="159"/>
      <c r="E3" s="159"/>
      <c r="F3" s="159"/>
      <c r="G3" s="159"/>
      <c r="H3" s="159"/>
      <c r="I3" s="159"/>
      <c r="J3" s="159"/>
      <c r="K3" s="159"/>
      <c r="L3" s="159"/>
      <c r="M3" s="159"/>
      <c r="N3" s="159"/>
      <c r="O3" s="159"/>
    </row>
    <row r="4" spans="2:16" ht="16.5" customHeight="1" x14ac:dyDescent="0.3">
      <c r="B4" s="192" t="s">
        <v>75</v>
      </c>
      <c r="C4" s="192"/>
      <c r="D4" s="192"/>
      <c r="E4" s="192"/>
      <c r="F4" s="192"/>
      <c r="G4" s="192"/>
      <c r="H4" s="192"/>
      <c r="I4" s="192"/>
      <c r="J4" s="192"/>
      <c r="K4" s="192"/>
      <c r="L4" s="192"/>
      <c r="M4" s="192"/>
      <c r="N4" s="192"/>
      <c r="O4" s="192"/>
    </row>
    <row r="6" spans="2:16" ht="17.25" customHeight="1" thickBot="1" x14ac:dyDescent="0.35">
      <c r="B6" s="161" t="s">
        <v>2</v>
      </c>
      <c r="C6" s="161"/>
      <c r="D6" s="161"/>
      <c r="E6" s="161"/>
      <c r="F6" s="161"/>
      <c r="G6" s="161"/>
      <c r="H6" s="161"/>
      <c r="I6" s="161"/>
      <c r="J6" s="161"/>
      <c r="K6" s="161"/>
      <c r="L6" s="161"/>
      <c r="M6" s="161"/>
      <c r="N6" s="161"/>
      <c r="O6" s="161"/>
    </row>
    <row r="7" spans="2:16" ht="21.75" customHeight="1" x14ac:dyDescent="0.3">
      <c r="B7" s="147" t="s">
        <v>3</v>
      </c>
      <c r="C7" s="149" t="s">
        <v>4</v>
      </c>
      <c r="D7" s="54"/>
      <c r="E7" s="147" t="s">
        <v>5</v>
      </c>
      <c r="F7" s="147"/>
      <c r="G7" s="147"/>
      <c r="H7" s="3"/>
      <c r="I7" s="147" t="s">
        <v>6</v>
      </c>
      <c r="J7" s="147"/>
      <c r="K7" s="147"/>
      <c r="L7" s="3"/>
      <c r="M7" s="147" t="s">
        <v>7</v>
      </c>
      <c r="N7" s="147"/>
      <c r="O7" s="147"/>
    </row>
    <row r="8" spans="2:16" ht="17.25" thickBot="1" x14ac:dyDescent="0.35">
      <c r="B8" s="148"/>
      <c r="C8" s="150"/>
      <c r="D8" s="5"/>
      <c r="E8" s="4" t="s">
        <v>8</v>
      </c>
      <c r="F8" s="4" t="s">
        <v>9</v>
      </c>
      <c r="G8" s="4" t="s">
        <v>10</v>
      </c>
      <c r="H8" s="5"/>
      <c r="I8" s="4" t="s">
        <v>11</v>
      </c>
      <c r="J8" s="4" t="s">
        <v>12</v>
      </c>
      <c r="K8" s="4" t="s">
        <v>10</v>
      </c>
      <c r="L8" s="5"/>
      <c r="M8" s="4" t="s">
        <v>11</v>
      </c>
      <c r="N8" s="4" t="s">
        <v>12</v>
      </c>
      <c r="O8" s="4" t="s">
        <v>10</v>
      </c>
    </row>
    <row r="9" spans="2:16" ht="20.25" customHeight="1" x14ac:dyDescent="0.3">
      <c r="B9" s="55" t="s">
        <v>13</v>
      </c>
      <c r="C9" s="29">
        <v>166722.17227457918</v>
      </c>
      <c r="D9" s="29"/>
      <c r="E9" s="29">
        <v>26971.181999999997</v>
      </c>
      <c r="F9" s="29">
        <v>21077.948</v>
      </c>
      <c r="G9" s="29">
        <v>5893.2340000000013</v>
      </c>
      <c r="H9" s="29"/>
      <c r="I9" s="29">
        <v>27515.321274579212</v>
      </c>
      <c r="J9" s="29">
        <v>3707.4914655602138</v>
      </c>
      <c r="K9" s="29">
        <v>23807.829809019007</v>
      </c>
      <c r="L9" s="29"/>
      <c r="M9" s="29">
        <v>112235.66900000001</v>
      </c>
      <c r="N9" s="29">
        <v>1880.6919999999993</v>
      </c>
      <c r="O9" s="29">
        <v>110354.97700000003</v>
      </c>
    </row>
    <row r="10" spans="2:16" s="44" customFormat="1" ht="13.5" customHeight="1" x14ac:dyDescent="0.25">
      <c r="B10" s="11" t="s">
        <v>14</v>
      </c>
      <c r="C10" s="12">
        <v>3337.4127739509886</v>
      </c>
      <c r="D10" s="12"/>
      <c r="E10" s="12">
        <v>851.92399999999998</v>
      </c>
      <c r="F10" s="12">
        <v>851.92399999999998</v>
      </c>
      <c r="G10" s="12">
        <v>0</v>
      </c>
      <c r="H10" s="36"/>
      <c r="I10" s="12">
        <v>746.539773950989</v>
      </c>
      <c r="J10" s="12">
        <v>31.273</v>
      </c>
      <c r="K10" s="12">
        <v>715.26677395098898</v>
      </c>
      <c r="L10" s="36"/>
      <c r="M10" s="12">
        <v>1738.9489999999996</v>
      </c>
      <c r="N10" s="12">
        <v>0</v>
      </c>
      <c r="O10" s="12">
        <v>1738.9489999999996</v>
      </c>
      <c r="P10" s="56"/>
    </row>
    <row r="11" spans="2:16" s="44" customFormat="1" ht="13.5" customHeight="1" x14ac:dyDescent="0.25">
      <c r="B11" s="7" t="s">
        <v>15</v>
      </c>
      <c r="C11" s="12">
        <v>10773.415072538455</v>
      </c>
      <c r="D11" s="12"/>
      <c r="E11" s="12">
        <v>1893.3740000000007</v>
      </c>
      <c r="F11" s="12">
        <v>1228.8450000000005</v>
      </c>
      <c r="G11" s="12">
        <v>664.52900000000022</v>
      </c>
      <c r="H11" s="36"/>
      <c r="I11" s="12">
        <v>1218.600072538459</v>
      </c>
      <c r="J11" s="12">
        <v>482.76159049999995</v>
      </c>
      <c r="K11" s="12">
        <v>735.83848203845912</v>
      </c>
      <c r="L11" s="36"/>
      <c r="M11" s="12">
        <v>7661.4409999999953</v>
      </c>
      <c r="N11" s="12">
        <v>112.40999999999998</v>
      </c>
      <c r="O11" s="12">
        <v>7549.0309999999954</v>
      </c>
      <c r="P11" s="56"/>
    </row>
    <row r="12" spans="2:16" s="44" customFormat="1" ht="13.5" customHeight="1" x14ac:dyDescent="0.25">
      <c r="B12" s="7" t="s">
        <v>16</v>
      </c>
      <c r="C12" s="12">
        <v>7489.5555033899791</v>
      </c>
      <c r="D12" s="12"/>
      <c r="E12" s="12">
        <v>1281.0300000000002</v>
      </c>
      <c r="F12" s="12">
        <v>839.21300000000008</v>
      </c>
      <c r="G12" s="12">
        <v>441.81700000000001</v>
      </c>
      <c r="H12" s="36"/>
      <c r="I12" s="12">
        <v>1261.9195033899798</v>
      </c>
      <c r="J12" s="12">
        <v>9.0710000000000015</v>
      </c>
      <c r="K12" s="12">
        <v>1252.8485033899799</v>
      </c>
      <c r="L12" s="36"/>
      <c r="M12" s="12">
        <v>4946.6059999999989</v>
      </c>
      <c r="N12" s="12">
        <v>7.27</v>
      </c>
      <c r="O12" s="12">
        <v>4939.3359999999984</v>
      </c>
      <c r="P12" s="56"/>
    </row>
    <row r="13" spans="2:16" s="44" customFormat="1" ht="13.5" customHeight="1" x14ac:dyDescent="0.25">
      <c r="B13" s="7" t="s">
        <v>17</v>
      </c>
      <c r="C13" s="12">
        <v>9395.4027832277443</v>
      </c>
      <c r="D13" s="12"/>
      <c r="E13" s="12">
        <v>1497.0529999999999</v>
      </c>
      <c r="F13" s="12">
        <v>1215.575</v>
      </c>
      <c r="G13" s="12">
        <v>281.47799999999995</v>
      </c>
      <c r="H13" s="36"/>
      <c r="I13" s="12">
        <v>1738.919783227748</v>
      </c>
      <c r="J13" s="12">
        <v>571.04092451834799</v>
      </c>
      <c r="K13" s="12">
        <v>1167.8788587094</v>
      </c>
      <c r="L13" s="36"/>
      <c r="M13" s="12">
        <v>6159.4299999999967</v>
      </c>
      <c r="N13" s="12">
        <v>402.28399999999999</v>
      </c>
      <c r="O13" s="12">
        <v>5757.145999999997</v>
      </c>
      <c r="P13" s="56"/>
    </row>
    <row r="14" spans="2:16" s="44" customFormat="1" ht="13.5" customHeight="1" x14ac:dyDescent="0.25">
      <c r="B14" s="7" t="s">
        <v>18</v>
      </c>
      <c r="C14" s="12">
        <v>12339.867333281829</v>
      </c>
      <c r="D14" s="12"/>
      <c r="E14" s="12">
        <v>1800.9549999999995</v>
      </c>
      <c r="F14" s="12">
        <v>1640.9799999999996</v>
      </c>
      <c r="G14" s="12">
        <v>159.97499999999999</v>
      </c>
      <c r="H14" s="36"/>
      <c r="I14" s="12">
        <v>1853.7263332818397</v>
      </c>
      <c r="J14" s="12">
        <v>264.79503021022003</v>
      </c>
      <c r="K14" s="12">
        <v>1588.9313030716198</v>
      </c>
      <c r="L14" s="36"/>
      <c r="M14" s="12">
        <v>8685.1859999999888</v>
      </c>
      <c r="N14" s="12">
        <v>18.939999999999998</v>
      </c>
      <c r="O14" s="12">
        <v>8666.2459999999883</v>
      </c>
      <c r="P14" s="56"/>
    </row>
    <row r="15" spans="2:16" s="44" customFormat="1" ht="13.5" customHeight="1" x14ac:dyDescent="0.25">
      <c r="B15" s="7" t="s">
        <v>19</v>
      </c>
      <c r="C15" s="12">
        <v>14667.61233995877</v>
      </c>
      <c r="D15" s="12"/>
      <c r="E15" s="12">
        <v>1738.944</v>
      </c>
      <c r="F15" s="12">
        <v>1456.8519999999999</v>
      </c>
      <c r="G15" s="12">
        <v>282.09199999999998</v>
      </c>
      <c r="H15" s="36"/>
      <c r="I15" s="12">
        <v>886.41533995876011</v>
      </c>
      <c r="J15" s="12">
        <v>31.779000404580003</v>
      </c>
      <c r="K15" s="12">
        <v>854.63633955418015</v>
      </c>
      <c r="L15" s="36"/>
      <c r="M15" s="12">
        <v>12042.253000000012</v>
      </c>
      <c r="N15" s="12">
        <v>39.749999999999986</v>
      </c>
      <c r="O15" s="12">
        <v>12002.503000000012</v>
      </c>
      <c r="P15" s="56"/>
    </row>
    <row r="16" spans="2:16" s="44" customFormat="1" ht="13.5" customHeight="1" x14ac:dyDescent="0.25">
      <c r="B16" s="7" t="s">
        <v>20</v>
      </c>
      <c r="C16" s="12">
        <v>50.277970000000003</v>
      </c>
      <c r="D16" s="12"/>
      <c r="E16" s="12">
        <v>43.38</v>
      </c>
      <c r="F16" s="12">
        <v>43.38</v>
      </c>
      <c r="G16" s="12">
        <v>0</v>
      </c>
      <c r="H16" s="36"/>
      <c r="I16" s="12">
        <v>6.8979700000000008</v>
      </c>
      <c r="J16" s="12">
        <v>5.15</v>
      </c>
      <c r="K16" s="12">
        <v>1.74797</v>
      </c>
      <c r="L16" s="36"/>
      <c r="M16" s="12">
        <v>0</v>
      </c>
      <c r="N16" s="12">
        <v>0</v>
      </c>
      <c r="O16" s="12">
        <v>0</v>
      </c>
      <c r="P16" s="56"/>
    </row>
    <row r="17" spans="2:16" s="44" customFormat="1" ht="13.5" customHeight="1" x14ac:dyDescent="0.25">
      <c r="B17" s="7" t="s">
        <v>21</v>
      </c>
      <c r="C17" s="12">
        <v>15544.921826743956</v>
      </c>
      <c r="D17" s="12"/>
      <c r="E17" s="12">
        <v>2056.9740000000002</v>
      </c>
      <c r="F17" s="12">
        <v>1622.5900000000001</v>
      </c>
      <c r="G17" s="12">
        <v>434.38400000000007</v>
      </c>
      <c r="H17" s="36"/>
      <c r="I17" s="12">
        <v>2802.5588267439398</v>
      </c>
      <c r="J17" s="12">
        <v>565.32008554395998</v>
      </c>
      <c r="K17" s="12">
        <v>2237.2387411999798</v>
      </c>
      <c r="L17" s="36"/>
      <c r="M17" s="12">
        <v>10685.389000000016</v>
      </c>
      <c r="N17" s="12">
        <v>124.61299999999994</v>
      </c>
      <c r="O17" s="12">
        <v>10560.776000000016</v>
      </c>
      <c r="P17" s="56"/>
    </row>
    <row r="18" spans="2:16" s="44" customFormat="1" ht="13.5" customHeight="1" x14ac:dyDescent="0.25">
      <c r="B18" s="7" t="s">
        <v>22</v>
      </c>
      <c r="C18" s="12">
        <v>8230.8719162592333</v>
      </c>
      <c r="D18" s="12"/>
      <c r="E18" s="12">
        <v>1403.6499999999996</v>
      </c>
      <c r="F18" s="12">
        <v>1181.2169999999996</v>
      </c>
      <c r="G18" s="12">
        <v>222.43299999999999</v>
      </c>
      <c r="H18" s="36"/>
      <c r="I18" s="12">
        <v>2002.2609162592303</v>
      </c>
      <c r="J18" s="12">
        <v>21.2944</v>
      </c>
      <c r="K18" s="12">
        <v>1980.9665162592303</v>
      </c>
      <c r="L18" s="36"/>
      <c r="M18" s="12">
        <v>4824.961000000003</v>
      </c>
      <c r="N18" s="12">
        <v>0.66</v>
      </c>
      <c r="O18" s="12">
        <v>4824.3010000000031</v>
      </c>
      <c r="P18" s="56"/>
    </row>
    <row r="19" spans="2:16" s="44" customFormat="1" ht="13.5" customHeight="1" x14ac:dyDescent="0.25">
      <c r="B19" s="7" t="s">
        <v>23</v>
      </c>
      <c r="C19" s="12">
        <v>7647.8487192001176</v>
      </c>
      <c r="D19" s="12"/>
      <c r="E19" s="12">
        <v>1242.0039999999999</v>
      </c>
      <c r="F19" s="12">
        <v>629.98199999999986</v>
      </c>
      <c r="G19" s="12">
        <v>612.02200000000016</v>
      </c>
      <c r="H19" s="36"/>
      <c r="I19" s="12">
        <v>772.43971920011995</v>
      </c>
      <c r="J19" s="12">
        <v>16.68417617319</v>
      </c>
      <c r="K19" s="12">
        <v>755.7555430269299</v>
      </c>
      <c r="L19" s="36"/>
      <c r="M19" s="12">
        <v>5633.4049999999979</v>
      </c>
      <c r="N19" s="12">
        <v>4.2</v>
      </c>
      <c r="O19" s="12">
        <v>5629.2049999999981</v>
      </c>
      <c r="P19" s="56"/>
    </row>
    <row r="20" spans="2:16" s="44" customFormat="1" ht="13.5" customHeight="1" x14ac:dyDescent="0.25">
      <c r="B20" s="7" t="s">
        <v>24</v>
      </c>
      <c r="C20" s="12">
        <v>3483.6215559276006</v>
      </c>
      <c r="D20" s="12"/>
      <c r="E20" s="12">
        <v>697.87600000000009</v>
      </c>
      <c r="F20" s="12">
        <v>680.71900000000005</v>
      </c>
      <c r="G20" s="12">
        <v>17.157</v>
      </c>
      <c r="H20" s="36"/>
      <c r="I20" s="12">
        <v>743.06355592759996</v>
      </c>
      <c r="J20" s="12">
        <v>48.940999999999995</v>
      </c>
      <c r="K20" s="12">
        <v>694.12255592759993</v>
      </c>
      <c r="L20" s="36"/>
      <c r="M20" s="12">
        <v>2042.6820000000005</v>
      </c>
      <c r="N20" s="12">
        <v>82.019999999999982</v>
      </c>
      <c r="O20" s="12">
        <v>1960.6620000000005</v>
      </c>
      <c r="P20" s="56"/>
    </row>
    <row r="21" spans="2:16" s="44" customFormat="1" ht="13.5" customHeight="1" x14ac:dyDescent="0.25">
      <c r="B21" s="7" t="s">
        <v>25</v>
      </c>
      <c r="C21" s="12">
        <v>12012.123544034432</v>
      </c>
      <c r="D21" s="12"/>
      <c r="E21" s="12">
        <v>1731.3119999999999</v>
      </c>
      <c r="F21" s="12">
        <v>972.45199999999988</v>
      </c>
      <c r="G21" s="12">
        <v>758.86</v>
      </c>
      <c r="H21" s="36"/>
      <c r="I21" s="12">
        <v>1135.044544034422</v>
      </c>
      <c r="J21" s="12">
        <v>67.679109999999966</v>
      </c>
      <c r="K21" s="12">
        <v>1067.3654340344219</v>
      </c>
      <c r="L21" s="36"/>
      <c r="M21" s="12">
        <v>9145.7670000000089</v>
      </c>
      <c r="N21" s="12">
        <v>219.42199999999997</v>
      </c>
      <c r="O21" s="12">
        <v>8926.3450000000084</v>
      </c>
      <c r="P21" s="56"/>
    </row>
    <row r="22" spans="2:16" s="44" customFormat="1" ht="13.5" customHeight="1" x14ac:dyDescent="0.25">
      <c r="B22" s="7" t="s">
        <v>26</v>
      </c>
      <c r="C22" s="12">
        <v>8765.9196969765671</v>
      </c>
      <c r="D22" s="12"/>
      <c r="E22" s="12">
        <v>1262.808</v>
      </c>
      <c r="F22" s="12">
        <v>792.21100000000013</v>
      </c>
      <c r="G22" s="12">
        <v>470.59699999999992</v>
      </c>
      <c r="H22" s="36"/>
      <c r="I22" s="12">
        <v>1932.1176969765661</v>
      </c>
      <c r="J22" s="12">
        <v>92.015232999999995</v>
      </c>
      <c r="K22" s="12">
        <v>1840.102463976566</v>
      </c>
      <c r="L22" s="36"/>
      <c r="M22" s="12">
        <v>5570.9940000000015</v>
      </c>
      <c r="N22" s="12">
        <v>155.39100000000005</v>
      </c>
      <c r="O22" s="12">
        <v>5415.6030000000019</v>
      </c>
      <c r="P22" s="56"/>
    </row>
    <row r="23" spans="2:16" s="44" customFormat="1" ht="13.5" customHeight="1" x14ac:dyDescent="0.25">
      <c r="B23" s="7" t="s">
        <v>27</v>
      </c>
      <c r="C23" s="12">
        <v>3198.0920998465299</v>
      </c>
      <c r="D23" s="12"/>
      <c r="E23" s="12">
        <v>469.04900000000004</v>
      </c>
      <c r="F23" s="12">
        <v>450.82100000000003</v>
      </c>
      <c r="G23" s="12">
        <v>18.228000000000002</v>
      </c>
      <c r="H23" s="36"/>
      <c r="I23" s="12">
        <v>672.43809984653012</v>
      </c>
      <c r="J23" s="12">
        <v>208.61310000000006</v>
      </c>
      <c r="K23" s="12">
        <v>463.82499984653003</v>
      </c>
      <c r="L23" s="36"/>
      <c r="M23" s="12">
        <v>2056.605</v>
      </c>
      <c r="N23" s="12">
        <v>27.549999999999997</v>
      </c>
      <c r="O23" s="12">
        <v>2029.0549999999998</v>
      </c>
      <c r="P23" s="56"/>
    </row>
    <row r="24" spans="2:16" s="44" customFormat="1" ht="13.5" customHeight="1" x14ac:dyDescent="0.25">
      <c r="B24" s="7" t="s">
        <v>28</v>
      </c>
      <c r="C24" s="12">
        <v>7522.0570338173475</v>
      </c>
      <c r="D24" s="12"/>
      <c r="E24" s="12">
        <v>1684.1309999999999</v>
      </c>
      <c r="F24" s="12">
        <v>1252.954</v>
      </c>
      <c r="G24" s="12">
        <v>431.17700000000002</v>
      </c>
      <c r="H24" s="36"/>
      <c r="I24" s="12">
        <v>1577.2990338173486</v>
      </c>
      <c r="J24" s="12">
        <v>160.41425082134799</v>
      </c>
      <c r="K24" s="12">
        <v>1416.8847829960005</v>
      </c>
      <c r="L24" s="36"/>
      <c r="M24" s="12">
        <v>4260.6269999999986</v>
      </c>
      <c r="N24" s="12">
        <v>171.99399999999997</v>
      </c>
      <c r="O24" s="12">
        <v>4088.6329999999989</v>
      </c>
      <c r="P24" s="56"/>
    </row>
    <row r="25" spans="2:16" s="44" customFormat="1" ht="13.5" customHeight="1" x14ac:dyDescent="0.25">
      <c r="B25" s="7" t="s">
        <v>29</v>
      </c>
      <c r="C25" s="12">
        <v>885.13400000000001</v>
      </c>
      <c r="D25" s="12"/>
      <c r="E25" s="12">
        <v>124.92700000000002</v>
      </c>
      <c r="F25" s="12">
        <v>93.580000000000013</v>
      </c>
      <c r="G25" s="12">
        <v>31.347000000000001</v>
      </c>
      <c r="H25" s="36"/>
      <c r="I25" s="12">
        <v>320.74699999999996</v>
      </c>
      <c r="J25" s="12">
        <v>97.166999999999987</v>
      </c>
      <c r="K25" s="12">
        <v>223.57999999999998</v>
      </c>
      <c r="L25" s="36"/>
      <c r="M25" s="12">
        <v>439.46000000000004</v>
      </c>
      <c r="N25" s="12">
        <v>19.079999999999998</v>
      </c>
      <c r="O25" s="12">
        <v>420.38000000000005</v>
      </c>
      <c r="P25" s="56"/>
    </row>
    <row r="26" spans="2:16" s="44" customFormat="1" ht="13.5" customHeight="1" x14ac:dyDescent="0.25">
      <c r="B26" s="7" t="s">
        <v>30</v>
      </c>
      <c r="C26" s="12">
        <v>2017.8084980050635</v>
      </c>
      <c r="D26" s="12"/>
      <c r="E26" s="12">
        <v>399.27600000000007</v>
      </c>
      <c r="F26" s="12">
        <v>399.27600000000007</v>
      </c>
      <c r="G26" s="12">
        <v>0</v>
      </c>
      <c r="H26" s="36"/>
      <c r="I26" s="12">
        <v>340.18849800506302</v>
      </c>
      <c r="J26" s="12">
        <v>2.3380000000000001</v>
      </c>
      <c r="K26" s="12">
        <v>337.850498005063</v>
      </c>
      <c r="L26" s="36"/>
      <c r="M26" s="12">
        <v>1278.3440000000003</v>
      </c>
      <c r="N26" s="12">
        <v>6.4050000000000002</v>
      </c>
      <c r="O26" s="12">
        <v>1271.9390000000003</v>
      </c>
      <c r="P26" s="56"/>
    </row>
    <row r="27" spans="2:16" s="44" customFormat="1" ht="13.5" customHeight="1" x14ac:dyDescent="0.25">
      <c r="B27" s="7" t="s">
        <v>31</v>
      </c>
      <c r="C27" s="12">
        <v>2647.0240960970114</v>
      </c>
      <c r="D27" s="12"/>
      <c r="E27" s="12">
        <v>469.24500000000029</v>
      </c>
      <c r="F27" s="12">
        <v>469.24500000000029</v>
      </c>
      <c r="G27" s="12">
        <v>0</v>
      </c>
      <c r="H27" s="36"/>
      <c r="I27" s="12">
        <v>908.93209609701125</v>
      </c>
      <c r="J27" s="12">
        <v>91.376569245210987</v>
      </c>
      <c r="K27" s="12">
        <v>817.55552685180021</v>
      </c>
      <c r="L27" s="36"/>
      <c r="M27" s="12">
        <v>1268.8469999999998</v>
      </c>
      <c r="N27" s="12">
        <v>99.75</v>
      </c>
      <c r="O27" s="12">
        <v>1169.0969999999998</v>
      </c>
      <c r="P27" s="56"/>
    </row>
    <row r="28" spans="2:16" s="44" customFormat="1" ht="13.5" customHeight="1" x14ac:dyDescent="0.25">
      <c r="B28" s="7" t="s">
        <v>32</v>
      </c>
      <c r="C28" s="12">
        <v>3285.6684915033502</v>
      </c>
      <c r="D28" s="12"/>
      <c r="E28" s="12">
        <v>591.14699999999993</v>
      </c>
      <c r="F28" s="12">
        <v>328.62799999999993</v>
      </c>
      <c r="G28" s="12">
        <v>262.51900000000001</v>
      </c>
      <c r="H28" s="36"/>
      <c r="I28" s="12">
        <v>607.57549150335012</v>
      </c>
      <c r="J28" s="12">
        <v>34.434956</v>
      </c>
      <c r="K28" s="12">
        <v>573.14053550335007</v>
      </c>
      <c r="L28" s="36"/>
      <c r="M28" s="12">
        <v>2086.9459999999999</v>
      </c>
      <c r="N28" s="12">
        <v>0</v>
      </c>
      <c r="O28" s="12">
        <v>2086.9459999999999</v>
      </c>
      <c r="P28" s="56"/>
    </row>
    <row r="29" spans="2:16" s="44" customFormat="1" ht="13.5" customHeight="1" x14ac:dyDescent="0.25">
      <c r="B29" s="7" t="s">
        <v>34</v>
      </c>
      <c r="C29" s="12">
        <v>8959.731002339895</v>
      </c>
      <c r="D29" s="12"/>
      <c r="E29" s="12">
        <v>1740.5379999999996</v>
      </c>
      <c r="F29" s="12">
        <v>1527.5229999999997</v>
      </c>
      <c r="G29" s="12">
        <v>213.01499999999999</v>
      </c>
      <c r="H29" s="36"/>
      <c r="I29" s="12">
        <v>589.72300233989597</v>
      </c>
      <c r="J29" s="12">
        <v>167.47800208219599</v>
      </c>
      <c r="K29" s="12">
        <v>422.24500025769999</v>
      </c>
      <c r="L29" s="36"/>
      <c r="M29" s="12">
        <v>6629.4699999999993</v>
      </c>
      <c r="N29" s="12">
        <v>171.14999999999992</v>
      </c>
      <c r="O29" s="12">
        <v>6458.32</v>
      </c>
      <c r="P29" s="56"/>
    </row>
    <row r="30" spans="2:16" s="44" customFormat="1" ht="13.5" customHeight="1" x14ac:dyDescent="0.25">
      <c r="B30" s="7" t="s">
        <v>35</v>
      </c>
      <c r="C30" s="12">
        <v>13206.967216263853</v>
      </c>
      <c r="D30" s="12"/>
      <c r="E30" s="12">
        <v>2017.0679999999995</v>
      </c>
      <c r="F30" s="12">
        <v>1727.0309999999995</v>
      </c>
      <c r="G30" s="12">
        <v>290.03700000000003</v>
      </c>
      <c r="H30" s="36"/>
      <c r="I30" s="12">
        <v>2367.9992162638546</v>
      </c>
      <c r="J30" s="12">
        <v>416.43751499500019</v>
      </c>
      <c r="K30" s="12">
        <v>1951.5617012688544</v>
      </c>
      <c r="L30" s="36"/>
      <c r="M30" s="12">
        <v>8821.9</v>
      </c>
      <c r="N30" s="12">
        <v>43.012999999999998</v>
      </c>
      <c r="O30" s="12">
        <v>8778.8869999999988</v>
      </c>
      <c r="P30" s="56"/>
    </row>
    <row r="31" spans="2:16" s="44" customFormat="1" ht="13.5" customHeight="1" x14ac:dyDescent="0.25">
      <c r="B31" s="7" t="s">
        <v>36</v>
      </c>
      <c r="C31" s="12">
        <v>5287.3102095807908</v>
      </c>
      <c r="D31" s="12"/>
      <c r="E31" s="12">
        <v>873.20900000000017</v>
      </c>
      <c r="F31" s="12">
        <v>728.44600000000014</v>
      </c>
      <c r="G31" s="12">
        <v>144.76300000000001</v>
      </c>
      <c r="H31" s="36"/>
      <c r="I31" s="12">
        <v>966.11620958078993</v>
      </c>
      <c r="J31" s="12">
        <v>161.3699981636</v>
      </c>
      <c r="K31" s="12">
        <v>804.7462114171899</v>
      </c>
      <c r="L31" s="36"/>
      <c r="M31" s="12">
        <v>3447.9850000000006</v>
      </c>
      <c r="N31" s="12">
        <v>0.09</v>
      </c>
      <c r="O31" s="12">
        <v>3447.8950000000004</v>
      </c>
      <c r="P31" s="56"/>
    </row>
    <row r="32" spans="2:16" s="44" customFormat="1" ht="13.5" customHeight="1" x14ac:dyDescent="0.25">
      <c r="B32" s="7" t="s">
        <v>37</v>
      </c>
      <c r="C32" s="12">
        <v>2517.4753845579407</v>
      </c>
      <c r="D32" s="12"/>
      <c r="E32" s="12">
        <v>635.68200000000002</v>
      </c>
      <c r="F32" s="12">
        <v>584.41800000000001</v>
      </c>
      <c r="G32" s="12">
        <v>51.264000000000003</v>
      </c>
      <c r="H32" s="36"/>
      <c r="I32" s="12">
        <v>489.70338455794001</v>
      </c>
      <c r="J32" s="12">
        <v>85.002461554139998</v>
      </c>
      <c r="K32" s="12">
        <v>404.70092300380003</v>
      </c>
      <c r="L32" s="36"/>
      <c r="M32" s="12">
        <v>1392.0900000000004</v>
      </c>
      <c r="N32" s="12">
        <v>163.04999999999993</v>
      </c>
      <c r="O32" s="12">
        <v>1229.0400000000004</v>
      </c>
      <c r="P32" s="56"/>
    </row>
    <row r="33" spans="2:16" s="44" customFormat="1" ht="13.5" customHeight="1" x14ac:dyDescent="0.25">
      <c r="B33" s="7" t="s">
        <v>38</v>
      </c>
      <c r="C33" s="12">
        <v>939.8672303750202</v>
      </c>
      <c r="D33" s="12"/>
      <c r="E33" s="12">
        <v>138.47399999999996</v>
      </c>
      <c r="F33" s="12">
        <v>138.47399999999996</v>
      </c>
      <c r="G33" s="12">
        <v>0</v>
      </c>
      <c r="H33" s="36"/>
      <c r="I33" s="12">
        <v>285.27123037502002</v>
      </c>
      <c r="J33" s="12">
        <v>69.509000000000015</v>
      </c>
      <c r="K33" s="12">
        <v>215.76223037502001</v>
      </c>
      <c r="L33" s="36"/>
      <c r="M33" s="12">
        <v>516.12200000000018</v>
      </c>
      <c r="N33" s="12">
        <v>9.33</v>
      </c>
      <c r="O33" s="12">
        <v>506.79200000000014</v>
      </c>
      <c r="P33" s="56"/>
    </row>
    <row r="34" spans="2:16" s="44" customFormat="1" ht="13.5" customHeight="1" thickBot="1" x14ac:dyDescent="0.3">
      <c r="B34" s="13" t="s">
        <v>39</v>
      </c>
      <c r="C34" s="14">
        <v>2516.1859767027599</v>
      </c>
      <c r="D34" s="14"/>
      <c r="E34" s="14">
        <v>327.15199999999999</v>
      </c>
      <c r="F34" s="14">
        <v>221.61199999999999</v>
      </c>
      <c r="G34" s="14">
        <v>105.54</v>
      </c>
      <c r="H34" s="14"/>
      <c r="I34" s="14">
        <v>1288.8239767027599</v>
      </c>
      <c r="J34" s="14">
        <v>5.5460623484199996</v>
      </c>
      <c r="K34" s="14">
        <v>1283.2779143543398</v>
      </c>
      <c r="L34" s="14"/>
      <c r="M34" s="14">
        <v>900.21</v>
      </c>
      <c r="N34" s="14">
        <v>2.3200000000000003</v>
      </c>
      <c r="O34" s="14">
        <v>897.89</v>
      </c>
      <c r="P34" s="56"/>
    </row>
    <row r="35" spans="2:16" ht="32.25" customHeight="1" x14ac:dyDescent="0.3">
      <c r="B35" s="152" t="s">
        <v>60</v>
      </c>
      <c r="C35" s="152"/>
      <c r="D35" s="152"/>
      <c r="E35" s="152"/>
      <c r="F35" s="152"/>
      <c r="G35" s="152"/>
      <c r="H35" s="152"/>
      <c r="I35" s="152"/>
      <c r="J35" s="152"/>
      <c r="K35" s="152"/>
      <c r="L35" s="152"/>
      <c r="M35" s="152"/>
      <c r="N35" s="152"/>
      <c r="O35" s="152"/>
    </row>
    <row r="36" spans="2:16" ht="15" customHeight="1" x14ac:dyDescent="0.3">
      <c r="B36" s="155" t="s">
        <v>70</v>
      </c>
      <c r="C36" s="155"/>
      <c r="D36" s="155"/>
      <c r="E36" s="155"/>
      <c r="F36" s="155"/>
      <c r="G36" s="155"/>
      <c r="H36" s="155"/>
      <c r="I36" s="155"/>
      <c r="J36" s="155"/>
      <c r="K36" s="155"/>
      <c r="L36" s="155"/>
      <c r="M36" s="155"/>
      <c r="N36" s="155"/>
      <c r="O36" s="155"/>
    </row>
    <row r="37" spans="2:16" ht="11.25" customHeight="1" x14ac:dyDescent="0.3">
      <c r="B37" s="15" t="s">
        <v>118</v>
      </c>
      <c r="C37" s="12"/>
      <c r="D37" s="12"/>
      <c r="E37" s="44"/>
      <c r="F37" s="12"/>
      <c r="G37" s="12"/>
      <c r="H37" s="44"/>
      <c r="I37" s="12"/>
      <c r="J37" s="12"/>
      <c r="K37" s="12"/>
      <c r="L37" s="44"/>
      <c r="M37" s="12"/>
      <c r="N37" s="12"/>
      <c r="O37" s="59"/>
    </row>
    <row r="38" spans="2:16" x14ac:dyDescent="0.3">
      <c r="B38" s="16" t="s">
        <v>43</v>
      </c>
      <c r="C38" s="44"/>
      <c r="D38" s="44"/>
      <c r="E38" s="44"/>
      <c r="F38" s="44"/>
      <c r="G38" s="44"/>
      <c r="H38" s="44"/>
      <c r="I38" s="44"/>
      <c r="J38" s="44"/>
      <c r="K38" s="44"/>
      <c r="L38" s="44"/>
      <c r="M38" s="44"/>
      <c r="N38" s="44"/>
    </row>
    <row r="39" spans="2:16" x14ac:dyDescent="0.3">
      <c r="B39" s="44"/>
      <c r="C39" s="44"/>
      <c r="D39" s="44"/>
      <c r="E39" s="44"/>
      <c r="F39" s="44"/>
      <c r="G39" s="44"/>
      <c r="H39" s="44"/>
      <c r="I39" s="44"/>
      <c r="J39" s="44"/>
      <c r="K39" s="44"/>
      <c r="L39" s="44"/>
      <c r="M39" s="44"/>
      <c r="N39" s="44"/>
    </row>
    <row r="40" spans="2:16" ht="16.5" customHeight="1" x14ac:dyDescent="0.3">
      <c r="B40" s="198" t="s">
        <v>218</v>
      </c>
      <c r="C40" s="198"/>
      <c r="D40" s="198"/>
      <c r="E40" s="198"/>
      <c r="F40" s="198"/>
      <c r="G40" s="198"/>
      <c r="H40" s="198"/>
      <c r="I40" s="198"/>
      <c r="J40" s="198"/>
      <c r="K40" s="198"/>
      <c r="L40" s="198"/>
      <c r="M40" s="198"/>
      <c r="N40" s="198"/>
      <c r="O40" s="198"/>
    </row>
    <row r="41" spans="2:16" ht="16.5" customHeight="1" x14ac:dyDescent="0.3">
      <c r="B41" s="157" t="s">
        <v>76</v>
      </c>
      <c r="C41" s="157"/>
      <c r="D41" s="157"/>
      <c r="E41" s="157"/>
      <c r="F41" s="157"/>
      <c r="G41" s="157"/>
      <c r="H41" s="157"/>
      <c r="I41" s="157"/>
      <c r="J41" s="157"/>
      <c r="K41" s="157"/>
      <c r="L41" s="157"/>
      <c r="M41" s="157"/>
      <c r="N41" s="157"/>
      <c r="O41" s="157"/>
    </row>
    <row r="42" spans="2:16" ht="24.75" customHeight="1" x14ac:dyDescent="0.3"/>
    <row r="43" spans="2:16" ht="19.7" customHeight="1" thickBot="1" x14ac:dyDescent="0.35">
      <c r="B43" s="161" t="s">
        <v>2</v>
      </c>
      <c r="C43" s="161"/>
      <c r="D43" s="161"/>
      <c r="E43" s="161"/>
      <c r="F43" s="161"/>
      <c r="G43" s="161"/>
      <c r="H43" s="161"/>
      <c r="I43" s="161"/>
      <c r="J43" s="161"/>
      <c r="K43" s="161"/>
      <c r="L43" s="161"/>
      <c r="M43" s="161"/>
      <c r="N43" s="161"/>
      <c r="O43" s="161"/>
    </row>
    <row r="44" spans="2:16" ht="21.75" customHeight="1" x14ac:dyDescent="0.3">
      <c r="B44" s="147" t="s">
        <v>3</v>
      </c>
      <c r="C44" s="163" t="s">
        <v>4</v>
      </c>
      <c r="D44" s="60"/>
      <c r="E44" s="165" t="s">
        <v>5</v>
      </c>
      <c r="F44" s="165"/>
      <c r="G44" s="165"/>
      <c r="H44" s="61"/>
      <c r="I44" s="147" t="s">
        <v>6</v>
      </c>
      <c r="J44" s="147"/>
      <c r="K44" s="147"/>
      <c r="L44" s="3"/>
      <c r="M44" s="147" t="s">
        <v>7</v>
      </c>
      <c r="N44" s="147"/>
      <c r="O44" s="147"/>
    </row>
    <row r="45" spans="2:16" ht="24.75"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2:16" ht="20.25" customHeight="1" x14ac:dyDescent="0.3">
      <c r="B46" s="55" t="s">
        <v>13</v>
      </c>
      <c r="C46" s="29">
        <v>168473.06700000004</v>
      </c>
      <c r="D46" s="29"/>
      <c r="E46" s="29">
        <v>27109.607999999993</v>
      </c>
      <c r="F46" s="29">
        <v>21434.001999999997</v>
      </c>
      <c r="G46" s="29">
        <v>5675.6059999999998</v>
      </c>
      <c r="H46" s="29"/>
      <c r="I46" s="29">
        <v>27505.554999999997</v>
      </c>
      <c r="J46" s="29">
        <v>3623.0940000000001</v>
      </c>
      <c r="K46" s="29">
        <v>23882.460999999999</v>
      </c>
      <c r="L46" s="29"/>
      <c r="M46" s="29">
        <v>113857.90400000001</v>
      </c>
      <c r="N46" s="29">
        <v>1858.8669999999993</v>
      </c>
      <c r="O46" s="8">
        <v>111999.037</v>
      </c>
    </row>
    <row r="47" spans="2:16" s="68" customFormat="1" ht="13.5" customHeight="1" x14ac:dyDescent="0.25">
      <c r="B47" s="11" t="s">
        <v>14</v>
      </c>
      <c r="C47" s="65">
        <v>3341.3979999999992</v>
      </c>
      <c r="D47" s="65"/>
      <c r="E47" s="65">
        <v>851.92399999999998</v>
      </c>
      <c r="F47" s="65">
        <v>851.92399999999998</v>
      </c>
      <c r="G47" s="65">
        <v>0</v>
      </c>
      <c r="H47" s="65"/>
      <c r="I47" s="65">
        <v>746.54</v>
      </c>
      <c r="J47" s="33">
        <v>31.273</v>
      </c>
      <c r="K47" s="33">
        <v>715.26699999999994</v>
      </c>
      <c r="L47" s="35"/>
      <c r="M47" s="33">
        <v>1742.9339999999993</v>
      </c>
      <c r="N47" s="33">
        <v>0</v>
      </c>
      <c r="O47" s="68">
        <v>1742.9339999999993</v>
      </c>
      <c r="P47" s="66"/>
    </row>
    <row r="48" spans="2:16" s="68" customFormat="1" ht="13.5" customHeight="1" x14ac:dyDescent="0.25">
      <c r="B48" s="7" t="s">
        <v>15</v>
      </c>
      <c r="C48" s="65">
        <v>10775.242999999995</v>
      </c>
      <c r="D48" s="65"/>
      <c r="E48" s="65">
        <v>1893.374</v>
      </c>
      <c r="F48" s="65">
        <v>1234.3920000000001</v>
      </c>
      <c r="G48" s="65">
        <v>658.98199999999997</v>
      </c>
      <c r="H48" s="65"/>
      <c r="I48" s="65">
        <v>1218.5979999999995</v>
      </c>
      <c r="J48" s="33">
        <v>482.76299999999975</v>
      </c>
      <c r="K48" s="33">
        <v>735.83499999999981</v>
      </c>
      <c r="L48" s="35"/>
      <c r="M48" s="33">
        <v>7663.2709999999943</v>
      </c>
      <c r="N48" s="33">
        <v>112.40999999999998</v>
      </c>
      <c r="O48" s="33">
        <v>7550.8609999999944</v>
      </c>
      <c r="P48" s="66"/>
    </row>
    <row r="49" spans="2:16" s="68" customFormat="1" ht="13.5" customHeight="1" x14ac:dyDescent="0.25">
      <c r="B49" s="7" t="s">
        <v>16</v>
      </c>
      <c r="C49" s="65">
        <v>7491.0909999999985</v>
      </c>
      <c r="D49" s="65"/>
      <c r="E49" s="65">
        <v>1281.0300000000002</v>
      </c>
      <c r="F49" s="65">
        <v>923.21699999999998</v>
      </c>
      <c r="G49" s="65">
        <v>357.8130000000001</v>
      </c>
      <c r="H49" s="65"/>
      <c r="I49" s="65">
        <v>1261.9170000000001</v>
      </c>
      <c r="J49" s="33">
        <v>9.0680000000000014</v>
      </c>
      <c r="K49" s="33">
        <v>1252.8490000000002</v>
      </c>
      <c r="L49" s="35"/>
      <c r="M49" s="33">
        <v>4948.1439999999984</v>
      </c>
      <c r="N49" s="33">
        <v>7.27</v>
      </c>
      <c r="O49" s="33">
        <v>4940.873999999998</v>
      </c>
      <c r="P49" s="66"/>
    </row>
    <row r="50" spans="2:16" s="68" customFormat="1" ht="13.5" customHeight="1" x14ac:dyDescent="0.25">
      <c r="B50" s="7" t="s">
        <v>17</v>
      </c>
      <c r="C50" s="65">
        <v>9391.4139999999952</v>
      </c>
      <c r="D50" s="65"/>
      <c r="E50" s="65">
        <v>1497.0529999999999</v>
      </c>
      <c r="F50" s="65">
        <v>1215.5749999999998</v>
      </c>
      <c r="G50" s="65">
        <v>281.47800000000001</v>
      </c>
      <c r="H50" s="65"/>
      <c r="I50" s="65">
        <v>1738.9209999999998</v>
      </c>
      <c r="J50" s="33">
        <v>571.04</v>
      </c>
      <c r="K50" s="33">
        <v>1167.8809999999999</v>
      </c>
      <c r="L50" s="35"/>
      <c r="M50" s="33">
        <v>6155.4399999999951</v>
      </c>
      <c r="N50" s="33">
        <v>402.28399999999999</v>
      </c>
      <c r="O50" s="33">
        <v>5753.1559999999954</v>
      </c>
      <c r="P50" s="66"/>
    </row>
    <row r="51" spans="2:16" s="68" customFormat="1" ht="13.5" customHeight="1" x14ac:dyDescent="0.25">
      <c r="B51" s="7" t="s">
        <v>18</v>
      </c>
      <c r="C51" s="65">
        <v>12360.59599999999</v>
      </c>
      <c r="D51" s="65"/>
      <c r="E51" s="65">
        <v>1800.9550000000002</v>
      </c>
      <c r="F51" s="65">
        <v>1664.4940000000001</v>
      </c>
      <c r="G51" s="65">
        <v>136.46100000000001</v>
      </c>
      <c r="H51" s="65"/>
      <c r="I51" s="65">
        <v>1853.7269999999999</v>
      </c>
      <c r="J51" s="33">
        <v>264.79600000000005</v>
      </c>
      <c r="K51" s="33">
        <v>1588.9309999999998</v>
      </c>
      <c r="L51" s="35"/>
      <c r="M51" s="33">
        <v>8705.9139999999898</v>
      </c>
      <c r="N51" s="33">
        <v>19.042000000000005</v>
      </c>
      <c r="O51" s="33">
        <v>8686.8719999999903</v>
      </c>
      <c r="P51" s="66"/>
    </row>
    <row r="52" spans="2:16" s="68" customFormat="1" ht="13.5" customHeight="1" x14ac:dyDescent="0.25">
      <c r="B52" s="7" t="s">
        <v>19</v>
      </c>
      <c r="C52" s="65">
        <v>14649.178000000014</v>
      </c>
      <c r="D52" s="65"/>
      <c r="E52" s="65">
        <v>1738.944</v>
      </c>
      <c r="F52" s="65">
        <v>1465.279</v>
      </c>
      <c r="G52" s="65">
        <v>273.66500000000002</v>
      </c>
      <c r="H52" s="65"/>
      <c r="I52" s="65">
        <v>886.41600000000005</v>
      </c>
      <c r="J52" s="33">
        <v>31.779</v>
      </c>
      <c r="K52" s="33">
        <v>854.63700000000006</v>
      </c>
      <c r="L52" s="35"/>
      <c r="M52" s="33">
        <v>12023.818000000014</v>
      </c>
      <c r="N52" s="33">
        <v>40.109999999999992</v>
      </c>
      <c r="O52" s="33">
        <v>11983.708000000013</v>
      </c>
      <c r="P52" s="66"/>
    </row>
    <row r="53" spans="2:16" s="68" customFormat="1" ht="13.5" customHeight="1" x14ac:dyDescent="0.25">
      <c r="B53" s="7" t="s">
        <v>20</v>
      </c>
      <c r="C53" s="65">
        <v>50.279000000000003</v>
      </c>
      <c r="D53" s="65"/>
      <c r="E53" s="65">
        <v>43.38</v>
      </c>
      <c r="F53" s="65">
        <v>43.38</v>
      </c>
      <c r="G53" s="65">
        <v>0</v>
      </c>
      <c r="H53" s="65"/>
      <c r="I53" s="65">
        <v>6.899</v>
      </c>
      <c r="J53" s="33">
        <v>5.1509999999999998</v>
      </c>
      <c r="K53" s="33">
        <v>1.748</v>
      </c>
      <c r="L53" s="35"/>
      <c r="M53" s="33">
        <v>0</v>
      </c>
      <c r="N53" s="33">
        <v>0</v>
      </c>
      <c r="O53" s="33">
        <v>0</v>
      </c>
      <c r="P53" s="66"/>
    </row>
    <row r="54" spans="2:16" s="68" customFormat="1" ht="13.5" customHeight="1" x14ac:dyDescent="0.25">
      <c r="B54" s="7" t="s">
        <v>21</v>
      </c>
      <c r="C54" s="65">
        <v>17087.97700000001</v>
      </c>
      <c r="D54" s="65"/>
      <c r="E54" s="65">
        <v>2034.0740000000001</v>
      </c>
      <c r="F54" s="65">
        <v>1623.395</v>
      </c>
      <c r="G54" s="65">
        <v>410.67899999999997</v>
      </c>
      <c r="H54" s="65"/>
      <c r="I54" s="65">
        <v>2801.19</v>
      </c>
      <c r="J54" s="33">
        <v>480.92500000000013</v>
      </c>
      <c r="K54" s="33">
        <v>2320.2649999999999</v>
      </c>
      <c r="L54" s="35"/>
      <c r="M54" s="33">
        <v>12252.713000000011</v>
      </c>
      <c r="N54" s="33">
        <v>115.28399999999995</v>
      </c>
      <c r="O54" s="33">
        <v>12137.429000000011</v>
      </c>
      <c r="P54" s="66"/>
    </row>
    <row r="55" spans="2:16" s="68" customFormat="1" ht="13.5" customHeight="1" x14ac:dyDescent="0.25">
      <c r="B55" s="7" t="s">
        <v>22</v>
      </c>
      <c r="C55" s="65">
        <v>8226.9830000000002</v>
      </c>
      <c r="D55" s="65"/>
      <c r="E55" s="65">
        <v>1403.65</v>
      </c>
      <c r="F55" s="65">
        <v>1194.5250000000001</v>
      </c>
      <c r="G55" s="65">
        <v>209.125</v>
      </c>
      <c r="H55" s="65"/>
      <c r="I55" s="65">
        <v>2002.2580000000003</v>
      </c>
      <c r="J55" s="33">
        <v>21.294</v>
      </c>
      <c r="K55" s="33">
        <v>1980.9640000000002</v>
      </c>
      <c r="L55" s="35"/>
      <c r="M55" s="33">
        <v>4821.0750000000007</v>
      </c>
      <c r="N55" s="33">
        <v>0.66</v>
      </c>
      <c r="O55" s="33">
        <v>4820.4150000000009</v>
      </c>
      <c r="P55" s="66"/>
    </row>
    <row r="56" spans="2:16" s="68" customFormat="1" ht="13.5" customHeight="1" x14ac:dyDescent="0.25">
      <c r="B56" s="7" t="s">
        <v>23</v>
      </c>
      <c r="C56" s="65">
        <v>7708.6029999999973</v>
      </c>
      <c r="D56" s="65"/>
      <c r="E56" s="65">
        <v>1305.4850000000001</v>
      </c>
      <c r="F56" s="65">
        <v>674.86300000000006</v>
      </c>
      <c r="G56" s="65">
        <v>630.62200000000007</v>
      </c>
      <c r="H56" s="65"/>
      <c r="I56" s="65">
        <v>772.4409999999998</v>
      </c>
      <c r="J56" s="33">
        <v>16.684000000000001</v>
      </c>
      <c r="K56" s="33">
        <v>755.75699999999983</v>
      </c>
      <c r="L56" s="35"/>
      <c r="M56" s="33">
        <v>5630.6769999999979</v>
      </c>
      <c r="N56" s="33">
        <v>4.0200000000000005</v>
      </c>
      <c r="O56" s="33">
        <v>5626.6569999999974</v>
      </c>
      <c r="P56" s="66"/>
    </row>
    <row r="57" spans="2:16" s="68" customFormat="1" ht="13.5" customHeight="1" x14ac:dyDescent="0.25">
      <c r="B57" s="7" t="s">
        <v>24</v>
      </c>
      <c r="C57" s="65">
        <v>3505.1500000000005</v>
      </c>
      <c r="D57" s="65"/>
      <c r="E57" s="65">
        <v>697.87599999999998</v>
      </c>
      <c r="F57" s="65">
        <v>680.71899999999994</v>
      </c>
      <c r="G57" s="65">
        <v>17.157</v>
      </c>
      <c r="H57" s="65"/>
      <c r="I57" s="65">
        <v>743.06400000000008</v>
      </c>
      <c r="J57" s="33">
        <v>48.940999999999995</v>
      </c>
      <c r="K57" s="33">
        <v>694.12300000000005</v>
      </c>
      <c r="L57" s="35"/>
      <c r="M57" s="33">
        <v>2064.2100000000005</v>
      </c>
      <c r="N57" s="33">
        <v>82.019999999999982</v>
      </c>
      <c r="O57" s="33">
        <v>1982.1900000000005</v>
      </c>
      <c r="P57" s="66"/>
    </row>
    <row r="58" spans="2:16" s="68" customFormat="1" ht="13.5" customHeight="1" x14ac:dyDescent="0.25">
      <c r="B58" s="7" t="s">
        <v>25</v>
      </c>
      <c r="C58" s="65">
        <v>11983.835000000008</v>
      </c>
      <c r="D58" s="65"/>
      <c r="E58" s="65">
        <v>1741.4589999999998</v>
      </c>
      <c r="F58" s="65">
        <v>984.4</v>
      </c>
      <c r="G58" s="65">
        <v>757.05899999999997</v>
      </c>
      <c r="H58" s="65"/>
      <c r="I58" s="65">
        <v>1126.8609999999999</v>
      </c>
      <c r="J58" s="33">
        <v>67.677999999999983</v>
      </c>
      <c r="K58" s="33">
        <v>1059.183</v>
      </c>
      <c r="L58" s="35"/>
      <c r="M58" s="33">
        <v>9115.5150000000085</v>
      </c>
      <c r="N58" s="33">
        <v>212.89599999999996</v>
      </c>
      <c r="O58" s="33">
        <v>8902.6190000000079</v>
      </c>
      <c r="P58" s="66"/>
    </row>
    <row r="59" spans="2:16" s="68" customFormat="1" ht="13.5" customHeight="1" x14ac:dyDescent="0.25">
      <c r="B59" s="7" t="s">
        <v>26</v>
      </c>
      <c r="C59" s="65">
        <v>8796.0390000000025</v>
      </c>
      <c r="D59" s="65"/>
      <c r="E59" s="65">
        <v>1261.808</v>
      </c>
      <c r="F59" s="65">
        <v>794.21100000000001</v>
      </c>
      <c r="G59" s="65">
        <v>467.59699999999987</v>
      </c>
      <c r="H59" s="65"/>
      <c r="I59" s="65">
        <v>1932.1160000000007</v>
      </c>
      <c r="J59" s="33">
        <v>92.015999999999991</v>
      </c>
      <c r="K59" s="33">
        <v>1840.1000000000006</v>
      </c>
      <c r="L59" s="35"/>
      <c r="M59" s="33">
        <v>5602.1150000000016</v>
      </c>
      <c r="N59" s="33">
        <v>155.84000000000003</v>
      </c>
      <c r="O59" s="33">
        <v>5446.2750000000015</v>
      </c>
      <c r="P59" s="66"/>
    </row>
    <row r="60" spans="2:16" s="68" customFormat="1" ht="13.5" customHeight="1" x14ac:dyDescent="0.25">
      <c r="B60" s="7" t="s">
        <v>27</v>
      </c>
      <c r="C60" s="65">
        <v>3291.0070000000001</v>
      </c>
      <c r="D60" s="65"/>
      <c r="E60" s="65">
        <v>561.96399999999994</v>
      </c>
      <c r="F60" s="65">
        <v>452.62099999999998</v>
      </c>
      <c r="G60" s="65">
        <v>109.343</v>
      </c>
      <c r="H60" s="65"/>
      <c r="I60" s="65">
        <v>672.4380000000001</v>
      </c>
      <c r="J60" s="33">
        <v>208.61300000000003</v>
      </c>
      <c r="K60" s="33">
        <v>463.82500000000005</v>
      </c>
      <c r="L60" s="35"/>
      <c r="M60" s="33">
        <v>2056.605</v>
      </c>
      <c r="N60" s="33">
        <v>27.549999999999997</v>
      </c>
      <c r="O60" s="33">
        <v>2029.0549999999998</v>
      </c>
      <c r="P60" s="66"/>
    </row>
    <row r="61" spans="2:16" s="68" customFormat="1" ht="13.5" customHeight="1" x14ac:dyDescent="0.25">
      <c r="B61" s="7" t="s">
        <v>28</v>
      </c>
      <c r="C61" s="65">
        <v>7512.9849999999988</v>
      </c>
      <c r="D61" s="65"/>
      <c r="E61" s="65">
        <v>1684.393</v>
      </c>
      <c r="F61" s="65">
        <v>1282.826</v>
      </c>
      <c r="G61" s="65">
        <v>401.56700000000001</v>
      </c>
      <c r="H61" s="65"/>
      <c r="I61" s="65">
        <v>1577.3010000000004</v>
      </c>
      <c r="J61" s="33">
        <v>160.41299999999998</v>
      </c>
      <c r="K61" s="33">
        <v>1416.8880000000004</v>
      </c>
      <c r="L61" s="35"/>
      <c r="M61" s="33">
        <v>4251.2909999999983</v>
      </c>
      <c r="N61" s="33">
        <v>166.34899999999996</v>
      </c>
      <c r="O61" s="33">
        <v>4084.9419999999982</v>
      </c>
      <c r="P61" s="66"/>
    </row>
    <row r="62" spans="2:16" s="68" customFormat="1" ht="13.5" customHeight="1" x14ac:dyDescent="0.25">
      <c r="B62" s="7" t="s">
        <v>29</v>
      </c>
      <c r="C62" s="65">
        <v>891.15499999999997</v>
      </c>
      <c r="D62" s="65"/>
      <c r="E62" s="65">
        <v>124.92700000000002</v>
      </c>
      <c r="F62" s="65">
        <v>93.580000000000013</v>
      </c>
      <c r="G62" s="65">
        <v>31.347000000000001</v>
      </c>
      <c r="H62" s="65"/>
      <c r="I62" s="65">
        <v>320.74699999999996</v>
      </c>
      <c r="J62" s="33">
        <v>97.166999999999987</v>
      </c>
      <c r="K62" s="33">
        <v>223.57999999999998</v>
      </c>
      <c r="L62" s="35"/>
      <c r="M62" s="33">
        <v>445.48099999999999</v>
      </c>
      <c r="N62" s="33">
        <v>19.130000000000003</v>
      </c>
      <c r="O62" s="33">
        <v>426.351</v>
      </c>
      <c r="P62" s="66"/>
    </row>
    <row r="63" spans="2:16" s="68" customFormat="1" ht="13.5" customHeight="1" x14ac:dyDescent="0.25">
      <c r="B63" s="7" t="s">
        <v>30</v>
      </c>
      <c r="C63" s="65">
        <v>2015.0390000000004</v>
      </c>
      <c r="D63" s="65"/>
      <c r="E63" s="65">
        <v>399.27600000000001</v>
      </c>
      <c r="F63" s="65">
        <v>399.27600000000001</v>
      </c>
      <c r="G63" s="65">
        <v>0</v>
      </c>
      <c r="H63" s="65"/>
      <c r="I63" s="65">
        <v>339.97900000000004</v>
      </c>
      <c r="J63" s="33">
        <v>2.3380000000000001</v>
      </c>
      <c r="K63" s="33">
        <v>337.64100000000002</v>
      </c>
      <c r="L63" s="35"/>
      <c r="M63" s="33">
        <v>1275.7840000000003</v>
      </c>
      <c r="N63" s="33">
        <v>6.4049999999999994</v>
      </c>
      <c r="O63" s="33">
        <v>1269.3790000000004</v>
      </c>
      <c r="P63" s="66"/>
    </row>
    <row r="64" spans="2:16" s="68" customFormat="1" ht="13.5" customHeight="1" x14ac:dyDescent="0.25">
      <c r="B64" s="7" t="s">
        <v>31</v>
      </c>
      <c r="C64" s="65">
        <v>2643.2269999999999</v>
      </c>
      <c r="D64" s="65"/>
      <c r="E64" s="65">
        <v>469.245</v>
      </c>
      <c r="F64" s="65">
        <v>469.245</v>
      </c>
      <c r="G64" s="65">
        <v>0</v>
      </c>
      <c r="H64" s="65"/>
      <c r="I64" s="65">
        <v>908.9319999999999</v>
      </c>
      <c r="J64" s="33">
        <v>91.376999999999995</v>
      </c>
      <c r="K64" s="33">
        <v>817.55499999999995</v>
      </c>
      <c r="L64" s="35"/>
      <c r="M64" s="33">
        <v>1265.05</v>
      </c>
      <c r="N64" s="33">
        <v>99.75</v>
      </c>
      <c r="O64" s="33">
        <v>1165.3</v>
      </c>
      <c r="P64" s="66"/>
    </row>
    <row r="65" spans="2:16" s="68" customFormat="1" ht="13.5" customHeight="1" x14ac:dyDescent="0.25">
      <c r="B65" s="7" t="s">
        <v>32</v>
      </c>
      <c r="C65" s="65">
        <v>3292.5020000000004</v>
      </c>
      <c r="D65" s="65"/>
      <c r="E65" s="65">
        <v>590.24400000000003</v>
      </c>
      <c r="F65" s="65">
        <v>346.916</v>
      </c>
      <c r="G65" s="65">
        <v>243.328</v>
      </c>
      <c r="H65" s="65"/>
      <c r="I65" s="65">
        <v>607.577</v>
      </c>
      <c r="J65" s="33">
        <v>34.435000000000002</v>
      </c>
      <c r="K65" s="33">
        <v>573.14199999999994</v>
      </c>
      <c r="L65" s="35"/>
      <c r="M65" s="33">
        <v>2094.6810000000005</v>
      </c>
      <c r="N65" s="33">
        <v>0</v>
      </c>
      <c r="O65" s="33">
        <v>2094.6810000000005</v>
      </c>
      <c r="P65" s="66"/>
    </row>
    <row r="66" spans="2:16" s="68" customFormat="1" ht="13.5" customHeight="1" x14ac:dyDescent="0.25">
      <c r="B66" s="7" t="s">
        <v>34</v>
      </c>
      <c r="C66" s="65">
        <v>8934.2219999999998</v>
      </c>
      <c r="D66" s="65"/>
      <c r="E66" s="65">
        <v>1735.991</v>
      </c>
      <c r="F66" s="65">
        <v>1586.8309999999999</v>
      </c>
      <c r="G66" s="65">
        <v>149.16</v>
      </c>
      <c r="H66" s="65"/>
      <c r="I66" s="65">
        <v>589.72299999999996</v>
      </c>
      <c r="J66" s="33">
        <v>167.47800000000001</v>
      </c>
      <c r="K66" s="33">
        <v>422.245</v>
      </c>
      <c r="L66" s="35"/>
      <c r="M66" s="33">
        <v>6608.5079999999998</v>
      </c>
      <c r="N66" s="33">
        <v>170.56199999999993</v>
      </c>
      <c r="O66" s="33">
        <v>6437.9459999999999</v>
      </c>
      <c r="P66" s="66"/>
    </row>
    <row r="67" spans="2:16" s="68" customFormat="1" ht="13.5" customHeight="1" x14ac:dyDescent="0.25">
      <c r="B67" s="7" t="s">
        <v>35</v>
      </c>
      <c r="C67" s="65">
        <v>13211.612999999996</v>
      </c>
      <c r="D67" s="65"/>
      <c r="E67" s="65">
        <v>2018.039</v>
      </c>
      <c r="F67" s="65">
        <v>1779.383</v>
      </c>
      <c r="G67" s="65">
        <v>238.65600000000003</v>
      </c>
      <c r="H67" s="65"/>
      <c r="I67" s="65">
        <v>2367.9970000000003</v>
      </c>
      <c r="J67" s="33">
        <v>416.43700000000013</v>
      </c>
      <c r="K67" s="33">
        <v>1951.56</v>
      </c>
      <c r="L67" s="35"/>
      <c r="M67" s="33">
        <v>8825.5769999999957</v>
      </c>
      <c r="N67" s="33">
        <v>42.413000000000004</v>
      </c>
      <c r="O67" s="33">
        <v>8783.1639999999952</v>
      </c>
      <c r="P67" s="66"/>
    </row>
    <row r="68" spans="2:16" s="68" customFormat="1" ht="13.5" customHeight="1" x14ac:dyDescent="0.25">
      <c r="B68" s="7" t="s">
        <v>36</v>
      </c>
      <c r="C68" s="65">
        <v>5289.5590000000002</v>
      </c>
      <c r="D68" s="65"/>
      <c r="E68" s="65">
        <v>873.20900000000006</v>
      </c>
      <c r="F68" s="65">
        <v>728.44600000000003</v>
      </c>
      <c r="G68" s="65">
        <v>144.76299999999998</v>
      </c>
      <c r="H68" s="65"/>
      <c r="I68" s="65">
        <v>966.11599999999987</v>
      </c>
      <c r="J68" s="33">
        <v>161.36999999999998</v>
      </c>
      <c r="K68" s="33">
        <v>804.74599999999987</v>
      </c>
      <c r="L68" s="35"/>
      <c r="M68" s="39">
        <v>3450.2340000000004</v>
      </c>
      <c r="N68" s="33">
        <v>0.09</v>
      </c>
      <c r="O68" s="33">
        <v>3450.1440000000002</v>
      </c>
      <c r="P68" s="66"/>
    </row>
    <row r="69" spans="2:16" s="68" customFormat="1" ht="13.5" customHeight="1" x14ac:dyDescent="0.25">
      <c r="B69" s="7" t="s">
        <v>37</v>
      </c>
      <c r="C69" s="65">
        <v>2520.3180000000002</v>
      </c>
      <c r="D69" s="65"/>
      <c r="E69" s="65">
        <v>635.68200000000002</v>
      </c>
      <c r="F69" s="65">
        <v>584.41800000000001</v>
      </c>
      <c r="G69" s="65">
        <v>51.263999999999996</v>
      </c>
      <c r="H69" s="65"/>
      <c r="I69" s="65">
        <v>489.70399999999995</v>
      </c>
      <c r="J69" s="33">
        <v>85.003</v>
      </c>
      <c r="K69" s="33">
        <v>404.70099999999996</v>
      </c>
      <c r="L69" s="35"/>
      <c r="M69" s="39">
        <v>1394.932</v>
      </c>
      <c r="N69" s="33">
        <v>163.13199999999992</v>
      </c>
      <c r="O69" s="33">
        <v>1231.8000000000002</v>
      </c>
      <c r="P69" s="66"/>
    </row>
    <row r="70" spans="2:16" s="68" customFormat="1" ht="13.5" customHeight="1" x14ac:dyDescent="0.25">
      <c r="B70" s="7" t="s">
        <v>38</v>
      </c>
      <c r="C70" s="65">
        <v>991.06800000000021</v>
      </c>
      <c r="D70" s="65"/>
      <c r="E70" s="65">
        <v>138.47399999999999</v>
      </c>
      <c r="F70" s="65">
        <v>138.47399999999999</v>
      </c>
      <c r="G70" s="65">
        <v>0</v>
      </c>
      <c r="H70" s="65"/>
      <c r="I70" s="65">
        <v>285.27100000000002</v>
      </c>
      <c r="J70" s="33">
        <v>69.509000000000015</v>
      </c>
      <c r="K70" s="33">
        <v>215.762</v>
      </c>
      <c r="L70" s="35"/>
      <c r="M70" s="39">
        <v>567.32300000000021</v>
      </c>
      <c r="N70" s="33">
        <v>9.33</v>
      </c>
      <c r="O70" s="33">
        <v>557.99300000000017</v>
      </c>
      <c r="P70" s="66"/>
    </row>
    <row r="71" spans="2:16" s="68" customFormat="1" ht="13.5" customHeight="1" thickBot="1" x14ac:dyDescent="0.3">
      <c r="B71" s="13" t="s">
        <v>39</v>
      </c>
      <c r="C71" s="42">
        <v>2512.5859999999998</v>
      </c>
      <c r="D71" s="42"/>
      <c r="E71" s="42">
        <v>327.15200000000004</v>
      </c>
      <c r="F71" s="42">
        <v>221.61200000000002</v>
      </c>
      <c r="G71" s="42">
        <v>105.54</v>
      </c>
      <c r="H71" s="42"/>
      <c r="I71" s="42">
        <v>1288.8219999999997</v>
      </c>
      <c r="J71" s="42">
        <v>5.5460000000000003</v>
      </c>
      <c r="K71" s="42">
        <v>1283.2759999999996</v>
      </c>
      <c r="L71" s="42"/>
      <c r="M71" s="42">
        <v>896.61199999999997</v>
      </c>
      <c r="N71" s="42">
        <v>2.3200000000000003</v>
      </c>
      <c r="O71" s="42">
        <v>894.29199999999992</v>
      </c>
      <c r="P71" s="66"/>
    </row>
    <row r="72" spans="2:16" s="44" customFormat="1" ht="32.25" customHeight="1" x14ac:dyDescent="0.25">
      <c r="B72" s="152" t="s">
        <v>60</v>
      </c>
      <c r="C72" s="152"/>
      <c r="D72" s="152"/>
      <c r="E72" s="152"/>
      <c r="F72" s="152"/>
      <c r="G72" s="152"/>
      <c r="H72" s="152"/>
      <c r="I72" s="152"/>
      <c r="J72" s="152"/>
      <c r="K72" s="152"/>
      <c r="L72" s="152"/>
      <c r="M72" s="152"/>
      <c r="N72" s="152"/>
      <c r="O72" s="152"/>
    </row>
    <row r="73" spans="2:16" s="44" customFormat="1" ht="15" customHeight="1" x14ac:dyDescent="0.25">
      <c r="B73" s="155" t="s">
        <v>70</v>
      </c>
      <c r="C73" s="155"/>
      <c r="D73" s="155"/>
      <c r="E73" s="155"/>
      <c r="F73" s="155"/>
      <c r="G73" s="155"/>
      <c r="H73" s="155"/>
      <c r="I73" s="155"/>
      <c r="J73" s="155"/>
      <c r="K73" s="155"/>
      <c r="L73" s="155"/>
      <c r="M73" s="155"/>
      <c r="N73" s="155"/>
      <c r="O73" s="155"/>
    </row>
    <row r="74" spans="2:16" s="44" customFormat="1" ht="11.25" customHeight="1" x14ac:dyDescent="0.3">
      <c r="B74" s="15" t="s">
        <v>119</v>
      </c>
      <c r="C74" s="59"/>
      <c r="D74" s="59"/>
      <c r="E74" s="1"/>
      <c r="F74" s="59"/>
      <c r="G74" s="59"/>
      <c r="H74" s="1"/>
      <c r="I74" s="59"/>
      <c r="J74" s="59"/>
      <c r="K74" s="59"/>
      <c r="L74" s="1"/>
      <c r="M74" s="59"/>
      <c r="N74" s="59"/>
      <c r="O74" s="59"/>
    </row>
    <row r="75" spans="2:16" s="44" customFormat="1" x14ac:dyDescent="0.3">
      <c r="B75" s="71" t="s">
        <v>43</v>
      </c>
      <c r="C75" s="1"/>
      <c r="D75" s="1"/>
      <c r="E75" s="1"/>
      <c r="F75" s="1"/>
      <c r="G75" s="1"/>
      <c r="H75" s="1"/>
      <c r="I75" s="1"/>
      <c r="J75" s="1"/>
      <c r="K75" s="1"/>
      <c r="L75" s="1"/>
      <c r="M75" s="1"/>
      <c r="N75" s="1"/>
      <c r="O75" s="1"/>
    </row>
    <row r="76" spans="2:16" s="44" customFormat="1" ht="13.5" hidden="1" customHeight="1" thickBot="1" x14ac:dyDescent="0.3">
      <c r="B76" s="74" t="s">
        <v>53</v>
      </c>
      <c r="C76" s="74">
        <v>1919.3729999999998</v>
      </c>
      <c r="D76" s="74"/>
      <c r="E76" s="74">
        <v>327.15200000000004</v>
      </c>
      <c r="F76" s="74">
        <v>221.09500000000003</v>
      </c>
      <c r="G76" s="74">
        <v>106.057</v>
      </c>
      <c r="H76" s="74"/>
      <c r="I76" s="74">
        <v>216.42400000000004</v>
      </c>
      <c r="J76" s="74">
        <v>0</v>
      </c>
      <c r="K76" s="74">
        <v>216.42400000000004</v>
      </c>
      <c r="L76" s="74"/>
      <c r="M76" s="74">
        <v>1375.7969999999998</v>
      </c>
      <c r="N76" s="74">
        <v>10.339999999999998</v>
      </c>
      <c r="O76" s="74">
        <v>1365.4569999999999</v>
      </c>
    </row>
    <row r="77" spans="2:16" ht="19.7" hidden="1" customHeight="1" x14ac:dyDescent="0.3">
      <c r="B77" s="15" t="s">
        <v>77</v>
      </c>
      <c r="C77" s="15"/>
      <c r="D77" s="15"/>
      <c r="E77" s="15"/>
      <c r="F77" s="15"/>
      <c r="G77" s="15"/>
      <c r="H77" s="15"/>
      <c r="I77" s="15"/>
      <c r="J77" s="15"/>
      <c r="K77" s="15"/>
      <c r="L77" s="15"/>
      <c r="M77" s="15"/>
      <c r="N77" s="15"/>
      <c r="O77" s="57"/>
    </row>
    <row r="78" spans="2:16" ht="15" hidden="1" customHeight="1" x14ac:dyDescent="0.3">
      <c r="B78" s="15" t="s">
        <v>78</v>
      </c>
      <c r="C78" s="59"/>
      <c r="D78" s="59"/>
      <c r="F78" s="59"/>
      <c r="G78" s="59"/>
      <c r="I78" s="59"/>
      <c r="J78" s="59"/>
      <c r="K78" s="59"/>
      <c r="M78" s="59"/>
      <c r="N78" s="59"/>
      <c r="O78" s="59"/>
    </row>
    <row r="79" spans="2:16" ht="15" hidden="1" customHeight="1" x14ac:dyDescent="0.3"/>
    <row r="80" spans="2:16" ht="11.25" hidden="1" customHeight="1" x14ac:dyDescent="0.3"/>
  </sheetData>
  <mergeCells count="20">
    <mergeCell ref="B72:O72"/>
    <mergeCell ref="B73:O73"/>
    <mergeCell ref="B44:B45"/>
    <mergeCell ref="C44:C45"/>
    <mergeCell ref="E44:G44"/>
    <mergeCell ref="I44:K44"/>
    <mergeCell ref="M44:O44"/>
    <mergeCell ref="B43:O43"/>
    <mergeCell ref="B41:O41"/>
    <mergeCell ref="B35:O35"/>
    <mergeCell ref="B36:O36"/>
    <mergeCell ref="B40:O40"/>
    <mergeCell ref="B6:O6"/>
    <mergeCell ref="B3:O3"/>
    <mergeCell ref="B4:O4"/>
    <mergeCell ref="B7:B8"/>
    <mergeCell ref="C7:C8"/>
    <mergeCell ref="E7:G7"/>
    <mergeCell ref="I7:K7"/>
    <mergeCell ref="M7:O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80"/>
  <sheetViews>
    <sheetView topLeftCell="A25" zoomScale="70" zoomScaleNormal="70" workbookViewId="0">
      <selection activeCell="J75" sqref="J75"/>
    </sheetView>
  </sheetViews>
  <sheetFormatPr baseColWidth="10" defaultColWidth="11.42578125" defaultRowHeight="16.5" x14ac:dyDescent="0.3"/>
  <cols>
    <col min="1" max="1" width="7.140625" style="1" customWidth="1"/>
    <col min="2" max="2" width="18.140625" style="1" customWidth="1"/>
    <col min="3" max="3" width="11.42578125" style="1"/>
    <col min="4" max="4" width="4.28515625" style="1" customWidth="1"/>
    <col min="5" max="6" width="11.42578125" style="1"/>
    <col min="7" max="7" width="18.85546875" style="1" bestFit="1" customWidth="1"/>
    <col min="8" max="8" width="5.28515625" style="1" customWidth="1"/>
    <col min="9" max="11" width="11.42578125" style="1"/>
    <col min="12" max="12" width="5.7109375" style="1" customWidth="1"/>
    <col min="13" max="15" width="11.42578125" style="1"/>
    <col min="16" max="16" width="7.5703125" style="1" customWidth="1"/>
    <col min="17" max="16384" width="11.42578125" style="1"/>
  </cols>
  <sheetData>
    <row r="1" spans="2:16" x14ac:dyDescent="0.3">
      <c r="C1" s="75"/>
    </row>
    <row r="3" spans="2:16" ht="27.75" customHeight="1" x14ac:dyDescent="0.3">
      <c r="B3" s="159" t="s">
        <v>136</v>
      </c>
      <c r="C3" s="159"/>
      <c r="D3" s="159"/>
      <c r="E3" s="159"/>
      <c r="F3" s="159"/>
      <c r="G3" s="159"/>
      <c r="H3" s="159"/>
      <c r="I3" s="159"/>
      <c r="J3" s="159"/>
      <c r="K3" s="159"/>
      <c r="L3" s="159"/>
      <c r="M3" s="159"/>
      <c r="N3" s="159"/>
      <c r="O3" s="159"/>
    </row>
    <row r="4" spans="2:16" ht="16.5" customHeight="1" x14ac:dyDescent="0.3">
      <c r="B4" s="192" t="s">
        <v>79</v>
      </c>
      <c r="C4" s="192"/>
      <c r="D4" s="192"/>
      <c r="E4" s="192"/>
      <c r="F4" s="192"/>
      <c r="G4" s="192"/>
      <c r="H4" s="192"/>
      <c r="I4" s="192"/>
      <c r="J4" s="192"/>
      <c r="K4" s="192"/>
      <c r="L4" s="192"/>
      <c r="M4" s="192"/>
      <c r="N4" s="192"/>
      <c r="O4" s="192"/>
    </row>
    <row r="5" spans="2:16" x14ac:dyDescent="0.3">
      <c r="O5" s="59"/>
    </row>
    <row r="6" spans="2:16" ht="17.25" customHeight="1" thickBot="1" x14ac:dyDescent="0.35">
      <c r="B6" s="161" t="s">
        <v>2</v>
      </c>
      <c r="C6" s="161"/>
      <c r="D6" s="161"/>
      <c r="E6" s="161"/>
      <c r="F6" s="161"/>
      <c r="G6" s="161"/>
      <c r="H6" s="161"/>
      <c r="I6" s="161"/>
      <c r="J6" s="161"/>
      <c r="K6" s="161"/>
      <c r="L6" s="161"/>
      <c r="M6" s="161"/>
      <c r="N6" s="161"/>
      <c r="O6" s="161"/>
    </row>
    <row r="7" spans="2:16" ht="21.75" customHeight="1" x14ac:dyDescent="0.3">
      <c r="B7" s="147" t="s">
        <v>3</v>
      </c>
      <c r="C7" s="149" t="s">
        <v>4</v>
      </c>
      <c r="D7" s="54"/>
      <c r="E7" s="147" t="s">
        <v>5</v>
      </c>
      <c r="F7" s="147"/>
      <c r="G7" s="147"/>
      <c r="H7" s="3"/>
      <c r="I7" s="147" t="s">
        <v>6</v>
      </c>
      <c r="J7" s="147"/>
      <c r="K7" s="147"/>
      <c r="L7" s="3"/>
      <c r="M7" s="147" t="s">
        <v>7</v>
      </c>
      <c r="N7" s="147"/>
      <c r="O7" s="147"/>
    </row>
    <row r="8" spans="2:16" ht="26.25" thickBot="1" x14ac:dyDescent="0.35">
      <c r="B8" s="148"/>
      <c r="C8" s="150"/>
      <c r="D8" s="5"/>
      <c r="E8" s="4" t="s">
        <v>8</v>
      </c>
      <c r="F8" s="4" t="s">
        <v>9</v>
      </c>
      <c r="G8" s="4" t="s">
        <v>10</v>
      </c>
      <c r="H8" s="5"/>
      <c r="I8" s="4" t="s">
        <v>11</v>
      </c>
      <c r="J8" s="4" t="s">
        <v>12</v>
      </c>
      <c r="K8" s="4" t="s">
        <v>10</v>
      </c>
      <c r="L8" s="5"/>
      <c r="M8" s="4" t="s">
        <v>11</v>
      </c>
      <c r="N8" s="4" t="s">
        <v>12</v>
      </c>
      <c r="O8" s="4" t="s">
        <v>10</v>
      </c>
    </row>
    <row r="9" spans="2:16" ht="20.25" customHeight="1" x14ac:dyDescent="0.3">
      <c r="B9" s="55" t="s">
        <v>13</v>
      </c>
      <c r="C9" s="29">
        <v>168359.21300000008</v>
      </c>
      <c r="D9" s="29"/>
      <c r="E9" s="29">
        <v>27060.93</v>
      </c>
      <c r="F9" s="29">
        <v>21649.025000000005</v>
      </c>
      <c r="G9" s="29">
        <v>5411.9049999999988</v>
      </c>
      <c r="H9" s="29"/>
      <c r="I9" s="29">
        <v>27505.548000000003</v>
      </c>
      <c r="J9" s="29">
        <v>3989.4249999999993</v>
      </c>
      <c r="K9" s="29">
        <v>23516.123</v>
      </c>
      <c r="L9" s="29"/>
      <c r="M9" s="29">
        <v>113792.73499999999</v>
      </c>
      <c r="N9" s="29">
        <v>1906.156999999999</v>
      </c>
      <c r="O9" s="29">
        <v>111886.57799999999</v>
      </c>
    </row>
    <row r="10" spans="2:16" s="68" customFormat="1" ht="13.5" customHeight="1" x14ac:dyDescent="0.25">
      <c r="B10" s="11" t="s">
        <v>14</v>
      </c>
      <c r="C10" s="65">
        <v>3340.7039999999993</v>
      </c>
      <c r="D10" s="65"/>
      <c r="E10" s="65">
        <v>851.23</v>
      </c>
      <c r="F10" s="65">
        <v>848.03</v>
      </c>
      <c r="G10" s="65">
        <v>3.2</v>
      </c>
      <c r="H10" s="65"/>
      <c r="I10" s="65">
        <v>746.53999999999985</v>
      </c>
      <c r="J10" s="33">
        <v>31.273</v>
      </c>
      <c r="K10" s="33">
        <v>715.26699999999983</v>
      </c>
      <c r="L10" s="35"/>
      <c r="M10" s="33">
        <v>1742.9339999999993</v>
      </c>
      <c r="N10" s="33">
        <v>0</v>
      </c>
      <c r="O10" s="33">
        <v>1742.9339999999993</v>
      </c>
      <c r="P10" s="66"/>
    </row>
    <row r="11" spans="2:16" s="68" customFormat="1" ht="13.5" customHeight="1" x14ac:dyDescent="0.25">
      <c r="B11" s="7" t="s">
        <v>15</v>
      </c>
      <c r="C11" s="65">
        <v>10776.083999999997</v>
      </c>
      <c r="D11" s="65"/>
      <c r="E11" s="65">
        <v>1894.2150000000004</v>
      </c>
      <c r="F11" s="65">
        <v>1319.7000000000003</v>
      </c>
      <c r="G11" s="65">
        <v>574.5150000000001</v>
      </c>
      <c r="H11" s="65"/>
      <c r="I11" s="65">
        <v>1218.5979999999995</v>
      </c>
      <c r="J11" s="33">
        <v>482.76299999999981</v>
      </c>
      <c r="K11" s="33">
        <v>735.8349999999997</v>
      </c>
      <c r="L11" s="35"/>
      <c r="M11" s="33">
        <v>7663.270999999997</v>
      </c>
      <c r="N11" s="33">
        <v>112.40999999999998</v>
      </c>
      <c r="O11" s="33">
        <v>7550.8609999999971</v>
      </c>
      <c r="P11" s="66"/>
    </row>
    <row r="12" spans="2:16" s="68" customFormat="1" ht="13.5" customHeight="1" x14ac:dyDescent="0.25">
      <c r="B12" s="7" t="s">
        <v>16</v>
      </c>
      <c r="C12" s="65">
        <v>7491.0909999999967</v>
      </c>
      <c r="D12" s="65"/>
      <c r="E12" s="65">
        <v>1281.0300000000002</v>
      </c>
      <c r="F12" s="65">
        <v>930.7560000000002</v>
      </c>
      <c r="G12" s="65">
        <v>350.27400000000006</v>
      </c>
      <c r="H12" s="65"/>
      <c r="I12" s="65">
        <v>1261.9170000000004</v>
      </c>
      <c r="J12" s="33">
        <v>9.0680000000000014</v>
      </c>
      <c r="K12" s="33">
        <v>1252.8490000000004</v>
      </c>
      <c r="L12" s="35"/>
      <c r="M12" s="33">
        <v>4948.1439999999966</v>
      </c>
      <c r="N12" s="33">
        <v>7.27</v>
      </c>
      <c r="O12" s="33">
        <v>4940.8739999999962</v>
      </c>
      <c r="P12" s="66"/>
    </row>
    <row r="13" spans="2:16" s="68" customFormat="1" ht="13.5" customHeight="1" x14ac:dyDescent="0.25">
      <c r="B13" s="7" t="s">
        <v>17</v>
      </c>
      <c r="C13" s="65">
        <v>9391.4219999999987</v>
      </c>
      <c r="D13" s="65"/>
      <c r="E13" s="65">
        <v>1497.0529999999999</v>
      </c>
      <c r="F13" s="65">
        <v>1215.5749999999998</v>
      </c>
      <c r="G13" s="65">
        <v>281.47800000000001</v>
      </c>
      <c r="H13" s="65"/>
      <c r="I13" s="65">
        <v>1738.921</v>
      </c>
      <c r="J13" s="33">
        <v>892.60200000000009</v>
      </c>
      <c r="K13" s="33">
        <v>846.31899999999996</v>
      </c>
      <c r="L13" s="35"/>
      <c r="M13" s="33">
        <v>6155.4479999999985</v>
      </c>
      <c r="N13" s="33">
        <v>434.28499999999997</v>
      </c>
      <c r="O13" s="33">
        <v>5721.1629999999986</v>
      </c>
      <c r="P13" s="66"/>
    </row>
    <row r="14" spans="2:16" s="68" customFormat="1" ht="13.5" customHeight="1" x14ac:dyDescent="0.25">
      <c r="B14" s="7" t="s">
        <v>18</v>
      </c>
      <c r="C14" s="65">
        <v>12316.245999999996</v>
      </c>
      <c r="D14" s="65"/>
      <c r="E14" s="65">
        <v>1800.9550000000002</v>
      </c>
      <c r="F14" s="65">
        <v>1698.3810000000001</v>
      </c>
      <c r="G14" s="65">
        <v>102.574</v>
      </c>
      <c r="H14" s="65"/>
      <c r="I14" s="65">
        <v>1853.7269999999996</v>
      </c>
      <c r="J14" s="33">
        <v>288.60099999999994</v>
      </c>
      <c r="K14" s="33">
        <v>1565.1259999999997</v>
      </c>
      <c r="L14" s="35"/>
      <c r="M14" s="33">
        <v>8661.5639999999967</v>
      </c>
      <c r="N14" s="33">
        <v>34.332000000000001</v>
      </c>
      <c r="O14" s="33">
        <v>8627.2319999999963</v>
      </c>
      <c r="P14" s="66"/>
    </row>
    <row r="15" spans="2:16" s="68" customFormat="1" ht="13.5" customHeight="1" x14ac:dyDescent="0.25">
      <c r="B15" s="7" t="s">
        <v>19</v>
      </c>
      <c r="C15" s="65">
        <v>14649.178000000013</v>
      </c>
      <c r="D15" s="65"/>
      <c r="E15" s="65">
        <v>1738.9439999999993</v>
      </c>
      <c r="F15" s="65">
        <v>1473.2789999999993</v>
      </c>
      <c r="G15" s="65">
        <v>265.66500000000002</v>
      </c>
      <c r="H15" s="65"/>
      <c r="I15" s="65">
        <v>886.41599999999994</v>
      </c>
      <c r="J15" s="33">
        <v>31.779</v>
      </c>
      <c r="K15" s="33">
        <v>854.63699999999994</v>
      </c>
      <c r="L15" s="35"/>
      <c r="M15" s="33">
        <v>12023.818000000014</v>
      </c>
      <c r="N15" s="33">
        <v>40.109999999999992</v>
      </c>
      <c r="O15" s="33">
        <v>11983.708000000013</v>
      </c>
      <c r="P15" s="66"/>
    </row>
    <row r="16" spans="2:16" s="68" customFormat="1" ht="13.5" customHeight="1" x14ac:dyDescent="0.25">
      <c r="B16" s="7" t="s">
        <v>20</v>
      </c>
      <c r="C16" s="65">
        <v>51.709000000000003</v>
      </c>
      <c r="D16" s="65"/>
      <c r="E16" s="65">
        <v>44.81</v>
      </c>
      <c r="F16" s="65">
        <v>44.81</v>
      </c>
      <c r="G16" s="65">
        <v>0</v>
      </c>
      <c r="H16" s="65"/>
      <c r="I16" s="65">
        <v>6.899</v>
      </c>
      <c r="J16" s="33">
        <v>5.1509999999999998</v>
      </c>
      <c r="K16" s="33">
        <v>1.748</v>
      </c>
      <c r="L16" s="35"/>
      <c r="M16" s="33">
        <v>0</v>
      </c>
      <c r="N16" s="33">
        <v>0</v>
      </c>
      <c r="O16" s="33">
        <v>0</v>
      </c>
      <c r="P16" s="66"/>
    </row>
    <row r="17" spans="2:16" s="68" customFormat="1" ht="13.5" customHeight="1" x14ac:dyDescent="0.25">
      <c r="B17" s="7" t="s">
        <v>21</v>
      </c>
      <c r="C17" s="65">
        <v>17065.149000000005</v>
      </c>
      <c r="D17" s="65"/>
      <c r="E17" s="65">
        <v>2034.0739999999998</v>
      </c>
      <c r="F17" s="65">
        <v>1626.0149999999999</v>
      </c>
      <c r="G17" s="65">
        <v>408.05899999999997</v>
      </c>
      <c r="H17" s="65"/>
      <c r="I17" s="65">
        <v>2801.1880000000001</v>
      </c>
      <c r="J17" s="33">
        <v>480.92500000000007</v>
      </c>
      <c r="K17" s="33">
        <v>2320.2629999999999</v>
      </c>
      <c r="L17" s="35"/>
      <c r="M17" s="33">
        <v>12229.887000000006</v>
      </c>
      <c r="N17" s="33">
        <v>115.28399999999993</v>
      </c>
      <c r="O17" s="33">
        <v>12114.603000000006</v>
      </c>
      <c r="P17" s="66"/>
    </row>
    <row r="18" spans="2:16" s="68" customFormat="1" ht="13.5" customHeight="1" x14ac:dyDescent="0.25">
      <c r="B18" s="7" t="s">
        <v>22</v>
      </c>
      <c r="C18" s="65">
        <v>8269.5840000000007</v>
      </c>
      <c r="D18" s="65"/>
      <c r="E18" s="65">
        <v>1446.2669999999998</v>
      </c>
      <c r="F18" s="65">
        <v>1190.7199999999998</v>
      </c>
      <c r="G18" s="65">
        <v>255.547</v>
      </c>
      <c r="H18" s="65"/>
      <c r="I18" s="65">
        <v>2002.2570000000003</v>
      </c>
      <c r="J18" s="33">
        <v>21.294000000000004</v>
      </c>
      <c r="K18" s="33">
        <v>1980.9630000000002</v>
      </c>
      <c r="L18" s="35"/>
      <c r="M18" s="33">
        <v>4821.0600000000004</v>
      </c>
      <c r="N18" s="33">
        <v>0.66</v>
      </c>
      <c r="O18" s="33">
        <v>4820.4000000000005</v>
      </c>
      <c r="P18" s="66"/>
    </row>
    <row r="19" spans="2:16" s="68" customFormat="1" ht="13.5" customHeight="1" x14ac:dyDescent="0.25">
      <c r="B19" s="7" t="s">
        <v>23</v>
      </c>
      <c r="C19" s="65">
        <v>7718.1509999999962</v>
      </c>
      <c r="D19" s="65"/>
      <c r="E19" s="65">
        <v>1315.0350000000001</v>
      </c>
      <c r="F19" s="65">
        <v>678.90300000000002</v>
      </c>
      <c r="G19" s="65">
        <v>636.13200000000006</v>
      </c>
      <c r="H19" s="65"/>
      <c r="I19" s="65">
        <v>772.43999999999983</v>
      </c>
      <c r="J19" s="33">
        <v>16.684000000000001</v>
      </c>
      <c r="K19" s="33">
        <v>755.75599999999986</v>
      </c>
      <c r="L19" s="35"/>
      <c r="M19" s="33">
        <v>5630.6759999999967</v>
      </c>
      <c r="N19" s="33">
        <v>4.0200000000000005</v>
      </c>
      <c r="O19" s="33">
        <v>5626.6559999999963</v>
      </c>
      <c r="P19" s="66"/>
    </row>
    <row r="20" spans="2:16" s="68" customFormat="1" ht="13.5" customHeight="1" x14ac:dyDescent="0.25">
      <c r="B20" s="7" t="s">
        <v>24</v>
      </c>
      <c r="C20" s="65">
        <v>3504.5730000000008</v>
      </c>
      <c r="D20" s="65"/>
      <c r="E20" s="65">
        <v>697.30000000000007</v>
      </c>
      <c r="F20" s="65">
        <v>680.59900000000005</v>
      </c>
      <c r="G20" s="65">
        <v>16.701000000000001</v>
      </c>
      <c r="H20" s="65"/>
      <c r="I20" s="65">
        <v>743.0630000000001</v>
      </c>
      <c r="J20" s="33">
        <v>48.940999999999995</v>
      </c>
      <c r="K20" s="33">
        <v>694.12200000000007</v>
      </c>
      <c r="L20" s="35"/>
      <c r="M20" s="33">
        <v>2064.2100000000005</v>
      </c>
      <c r="N20" s="33">
        <v>82.019999999999982</v>
      </c>
      <c r="O20" s="33">
        <v>1982.1900000000005</v>
      </c>
      <c r="P20" s="66"/>
    </row>
    <row r="21" spans="2:16" s="68" customFormat="1" ht="13.5" customHeight="1" x14ac:dyDescent="0.25">
      <c r="B21" s="7" t="s">
        <v>25</v>
      </c>
      <c r="C21" s="65">
        <v>12018.704000000007</v>
      </c>
      <c r="D21" s="65"/>
      <c r="E21" s="65">
        <v>1776.328</v>
      </c>
      <c r="F21" s="65">
        <v>1031.8729999999998</v>
      </c>
      <c r="G21" s="65">
        <v>744.45500000000015</v>
      </c>
      <c r="H21" s="65"/>
      <c r="I21" s="65">
        <v>1126.8610000000001</v>
      </c>
      <c r="J21" s="33">
        <v>67.677999999999983</v>
      </c>
      <c r="K21" s="33">
        <v>1059.1830000000002</v>
      </c>
      <c r="L21" s="35"/>
      <c r="M21" s="33">
        <v>9115.5150000000067</v>
      </c>
      <c r="N21" s="33">
        <v>212.89599999999993</v>
      </c>
      <c r="O21" s="33">
        <v>8902.6190000000061</v>
      </c>
      <c r="P21" s="66"/>
    </row>
    <row r="22" spans="2:16" s="68" customFormat="1" ht="13.5" customHeight="1" x14ac:dyDescent="0.25">
      <c r="B22" s="7" t="s">
        <v>26</v>
      </c>
      <c r="C22" s="65">
        <v>8796.595000000003</v>
      </c>
      <c r="D22" s="65"/>
      <c r="E22" s="65">
        <v>1261.8079999999998</v>
      </c>
      <c r="F22" s="65">
        <v>795.85799999999972</v>
      </c>
      <c r="G22" s="65">
        <v>465.95</v>
      </c>
      <c r="H22" s="65"/>
      <c r="I22" s="65">
        <v>1932.1170000000004</v>
      </c>
      <c r="J22" s="33">
        <v>92.015999999999991</v>
      </c>
      <c r="K22" s="33">
        <v>1840.1010000000003</v>
      </c>
      <c r="L22" s="35"/>
      <c r="M22" s="33">
        <v>5602.6700000000028</v>
      </c>
      <c r="N22" s="33">
        <v>155.84000000000003</v>
      </c>
      <c r="O22" s="33">
        <v>5446.8300000000027</v>
      </c>
      <c r="P22" s="66"/>
    </row>
    <row r="23" spans="2:16" s="68" customFormat="1" ht="13.5" customHeight="1" x14ac:dyDescent="0.25">
      <c r="B23" s="7" t="s">
        <v>27</v>
      </c>
      <c r="C23" s="65">
        <v>3198.0920000000001</v>
      </c>
      <c r="D23" s="65"/>
      <c r="E23" s="65">
        <v>469.04899999999998</v>
      </c>
      <c r="F23" s="65">
        <v>450.82099999999997</v>
      </c>
      <c r="G23" s="65">
        <v>18.228000000000002</v>
      </c>
      <c r="H23" s="65"/>
      <c r="I23" s="65">
        <v>672.4380000000001</v>
      </c>
      <c r="J23" s="33">
        <v>208.61300000000003</v>
      </c>
      <c r="K23" s="33">
        <v>463.82500000000005</v>
      </c>
      <c r="L23" s="35"/>
      <c r="M23" s="33">
        <v>2056.605</v>
      </c>
      <c r="N23" s="33">
        <v>27.549999999999997</v>
      </c>
      <c r="O23" s="33">
        <v>2029.0549999999998</v>
      </c>
      <c r="P23" s="66"/>
    </row>
    <row r="24" spans="2:16" s="68" customFormat="1" ht="13.5" customHeight="1" x14ac:dyDescent="0.25">
      <c r="B24" s="7" t="s">
        <v>28</v>
      </c>
      <c r="C24" s="65">
        <v>7513.8339999999989</v>
      </c>
      <c r="D24" s="65"/>
      <c r="E24" s="65">
        <v>1685.2459999999996</v>
      </c>
      <c r="F24" s="65">
        <v>1310.0049999999997</v>
      </c>
      <c r="G24" s="65">
        <v>375.2410000000001</v>
      </c>
      <c r="H24" s="65"/>
      <c r="I24" s="65">
        <v>1577.2970000000005</v>
      </c>
      <c r="J24" s="33">
        <v>160.41299999999998</v>
      </c>
      <c r="K24" s="33">
        <v>1416.8840000000005</v>
      </c>
      <c r="L24" s="35"/>
      <c r="M24" s="33">
        <v>4251.2909999999983</v>
      </c>
      <c r="N24" s="33">
        <v>166.34899999999999</v>
      </c>
      <c r="O24" s="33">
        <v>4084.9419999999982</v>
      </c>
      <c r="P24" s="66"/>
    </row>
    <row r="25" spans="2:16" s="68" customFormat="1" ht="13.5" customHeight="1" x14ac:dyDescent="0.25">
      <c r="B25" s="7" t="s">
        <v>29</v>
      </c>
      <c r="C25" s="65">
        <v>891.15499999999997</v>
      </c>
      <c r="D25" s="65"/>
      <c r="E25" s="65">
        <v>124.92700000000002</v>
      </c>
      <c r="F25" s="65">
        <v>93.580000000000013</v>
      </c>
      <c r="G25" s="65">
        <v>31.347000000000001</v>
      </c>
      <c r="H25" s="65"/>
      <c r="I25" s="65">
        <v>320.74699999999996</v>
      </c>
      <c r="J25" s="33">
        <v>97.166999999999987</v>
      </c>
      <c r="K25" s="33">
        <v>223.57999999999998</v>
      </c>
      <c r="L25" s="35"/>
      <c r="M25" s="33">
        <v>445.48100000000005</v>
      </c>
      <c r="N25" s="33">
        <v>19.130000000000003</v>
      </c>
      <c r="O25" s="33">
        <v>426.35100000000006</v>
      </c>
      <c r="P25" s="66"/>
    </row>
    <row r="26" spans="2:16" s="68" customFormat="1" ht="13.5" customHeight="1" x14ac:dyDescent="0.25">
      <c r="B26" s="7" t="s">
        <v>30</v>
      </c>
      <c r="C26" s="65">
        <v>2015.0390000000002</v>
      </c>
      <c r="D26" s="65"/>
      <c r="E26" s="65">
        <v>399.2759999999999</v>
      </c>
      <c r="F26" s="65">
        <v>399.2759999999999</v>
      </c>
      <c r="G26" s="65">
        <v>0</v>
      </c>
      <c r="H26" s="65"/>
      <c r="I26" s="65">
        <v>339.97900000000004</v>
      </c>
      <c r="J26" s="33">
        <v>2.3380000000000001</v>
      </c>
      <c r="K26" s="33">
        <v>337.64100000000002</v>
      </c>
      <c r="L26" s="35"/>
      <c r="M26" s="33">
        <v>1275.7840000000003</v>
      </c>
      <c r="N26" s="33">
        <v>6.4049999999999994</v>
      </c>
      <c r="O26" s="33">
        <v>1269.3790000000004</v>
      </c>
      <c r="P26" s="66"/>
    </row>
    <row r="27" spans="2:16" s="68" customFormat="1" ht="13.5" customHeight="1" x14ac:dyDescent="0.25">
      <c r="B27" s="7" t="s">
        <v>31</v>
      </c>
      <c r="C27" s="65">
        <v>2643.2270000000003</v>
      </c>
      <c r="D27" s="65"/>
      <c r="E27" s="65">
        <v>469.24500000000012</v>
      </c>
      <c r="F27" s="65">
        <v>469.24500000000012</v>
      </c>
      <c r="G27" s="65">
        <v>0</v>
      </c>
      <c r="H27" s="65"/>
      <c r="I27" s="65">
        <v>908.93200000000002</v>
      </c>
      <c r="J27" s="33">
        <v>112.34100000000001</v>
      </c>
      <c r="K27" s="33">
        <v>796.59100000000001</v>
      </c>
      <c r="L27" s="35"/>
      <c r="M27" s="33">
        <v>1265.0500000000002</v>
      </c>
      <c r="N27" s="33">
        <v>99.750000000000014</v>
      </c>
      <c r="O27" s="33">
        <v>1165.3000000000002</v>
      </c>
      <c r="P27" s="66"/>
    </row>
    <row r="28" spans="2:16" s="68" customFormat="1" ht="13.5" customHeight="1" x14ac:dyDescent="0.25">
      <c r="B28" s="7" t="s">
        <v>32</v>
      </c>
      <c r="C28" s="65">
        <v>3292.5020000000004</v>
      </c>
      <c r="D28" s="65"/>
      <c r="E28" s="65">
        <v>590.24399999999991</v>
      </c>
      <c r="F28" s="65">
        <v>347.91599999999994</v>
      </c>
      <c r="G28" s="65">
        <v>242.32799999999997</v>
      </c>
      <c r="H28" s="65"/>
      <c r="I28" s="65">
        <v>607.57699999999988</v>
      </c>
      <c r="J28" s="33">
        <v>34.434999999999995</v>
      </c>
      <c r="K28" s="33">
        <v>573.14199999999994</v>
      </c>
      <c r="L28" s="35"/>
      <c r="M28" s="33">
        <v>2094.6810000000005</v>
      </c>
      <c r="N28" s="33">
        <v>0</v>
      </c>
      <c r="O28" s="33">
        <v>2094.6810000000005</v>
      </c>
      <c r="P28" s="66"/>
    </row>
    <row r="29" spans="2:16" s="68" customFormat="1" ht="13.5" customHeight="1" x14ac:dyDescent="0.25">
      <c r="B29" s="7" t="s">
        <v>34</v>
      </c>
      <c r="C29" s="65">
        <v>8934.2219999999998</v>
      </c>
      <c r="D29" s="65"/>
      <c r="E29" s="65">
        <v>1735.9910000000004</v>
      </c>
      <c r="F29" s="65">
        <v>1586.8310000000004</v>
      </c>
      <c r="G29" s="65">
        <v>149.16000000000003</v>
      </c>
      <c r="H29" s="65"/>
      <c r="I29" s="65">
        <v>589.72400000000005</v>
      </c>
      <c r="J29" s="33">
        <v>167.47800000000001</v>
      </c>
      <c r="K29" s="33">
        <v>422.24600000000004</v>
      </c>
      <c r="L29" s="35"/>
      <c r="M29" s="33">
        <v>6608.5069999999996</v>
      </c>
      <c r="N29" s="33">
        <v>170.56099999999995</v>
      </c>
      <c r="O29" s="33">
        <v>6437.9459999999999</v>
      </c>
      <c r="P29" s="66"/>
    </row>
    <row r="30" spans="2:16" s="68" customFormat="1" ht="13.5" customHeight="1" x14ac:dyDescent="0.25">
      <c r="B30" s="7" t="s">
        <v>35</v>
      </c>
      <c r="C30" s="65">
        <v>13213.073999999993</v>
      </c>
      <c r="D30" s="65"/>
      <c r="E30" s="65">
        <v>2018.0389999999995</v>
      </c>
      <c r="F30" s="65">
        <v>1783.7539999999995</v>
      </c>
      <c r="G30" s="65">
        <v>234.28500000000003</v>
      </c>
      <c r="H30" s="65"/>
      <c r="I30" s="65">
        <v>2367.9969999999998</v>
      </c>
      <c r="J30" s="33">
        <v>416.43699999999995</v>
      </c>
      <c r="K30" s="33">
        <v>1951.5599999999997</v>
      </c>
      <c r="L30" s="35"/>
      <c r="M30" s="33">
        <v>8827.037999999995</v>
      </c>
      <c r="N30" s="33">
        <v>42.413000000000004</v>
      </c>
      <c r="O30" s="33">
        <v>8784.6249999999945</v>
      </c>
      <c r="P30" s="66"/>
    </row>
    <row r="31" spans="2:16" s="68" customFormat="1" ht="13.5" customHeight="1" x14ac:dyDescent="0.25">
      <c r="B31" s="7" t="s">
        <v>36</v>
      </c>
      <c r="C31" s="65">
        <v>5245.4780000000001</v>
      </c>
      <c r="D31" s="65"/>
      <c r="E31" s="65">
        <v>829.12800000000004</v>
      </c>
      <c r="F31" s="65">
        <v>728.44600000000003</v>
      </c>
      <c r="G31" s="65">
        <v>100.68200000000002</v>
      </c>
      <c r="H31" s="65"/>
      <c r="I31" s="65">
        <v>966.11599999999987</v>
      </c>
      <c r="J31" s="33">
        <v>161.37000000000003</v>
      </c>
      <c r="K31" s="33">
        <v>804.74599999999987</v>
      </c>
      <c r="L31" s="35"/>
      <c r="M31" s="39">
        <v>3450.2340000000004</v>
      </c>
      <c r="N31" s="33">
        <v>0.09</v>
      </c>
      <c r="O31" s="33">
        <v>3450.1440000000002</v>
      </c>
      <c r="P31" s="66"/>
    </row>
    <row r="32" spans="2:16" s="68" customFormat="1" ht="13.5" customHeight="1" x14ac:dyDescent="0.25">
      <c r="B32" s="7" t="s">
        <v>37</v>
      </c>
      <c r="C32" s="65">
        <v>2519.7460000000001</v>
      </c>
      <c r="D32" s="65"/>
      <c r="E32" s="65">
        <v>635.11000000000013</v>
      </c>
      <c r="F32" s="65">
        <v>584.1160000000001</v>
      </c>
      <c r="G32" s="65">
        <v>50.993999999999993</v>
      </c>
      <c r="H32" s="65"/>
      <c r="I32" s="65">
        <v>489.70400000000001</v>
      </c>
      <c r="J32" s="33">
        <v>85.003</v>
      </c>
      <c r="K32" s="33">
        <v>404.70100000000002</v>
      </c>
      <c r="L32" s="35"/>
      <c r="M32" s="39">
        <v>1394.9320000000002</v>
      </c>
      <c r="N32" s="33">
        <v>163.13199999999995</v>
      </c>
      <c r="O32" s="33">
        <v>1231.8000000000002</v>
      </c>
      <c r="P32" s="66"/>
    </row>
    <row r="33" spans="1:16" s="68" customFormat="1" ht="13.5" customHeight="1" x14ac:dyDescent="0.25">
      <c r="B33" s="7" t="s">
        <v>38</v>
      </c>
      <c r="C33" s="65">
        <v>991.06800000000021</v>
      </c>
      <c r="D33" s="65"/>
      <c r="E33" s="65">
        <v>138.47399999999999</v>
      </c>
      <c r="F33" s="65">
        <v>138.47399999999999</v>
      </c>
      <c r="G33" s="65">
        <v>0</v>
      </c>
      <c r="H33" s="65"/>
      <c r="I33" s="65">
        <v>285.27099999999996</v>
      </c>
      <c r="J33" s="33">
        <v>69.509000000000015</v>
      </c>
      <c r="K33" s="33">
        <v>215.76199999999997</v>
      </c>
      <c r="L33" s="35"/>
      <c r="M33" s="39">
        <v>567.32300000000021</v>
      </c>
      <c r="N33" s="33">
        <v>9.33</v>
      </c>
      <c r="O33" s="33">
        <v>557.99300000000017</v>
      </c>
      <c r="P33" s="66"/>
    </row>
    <row r="34" spans="1:16" s="68" customFormat="1" ht="13.5" customHeight="1" thickBot="1" x14ac:dyDescent="0.3">
      <c r="B34" s="13" t="s">
        <v>39</v>
      </c>
      <c r="C34" s="42">
        <v>2512.5859999999998</v>
      </c>
      <c r="D34" s="42"/>
      <c r="E34" s="42">
        <v>327.15200000000004</v>
      </c>
      <c r="F34" s="42">
        <v>222.06200000000001</v>
      </c>
      <c r="G34" s="42">
        <v>105.09</v>
      </c>
      <c r="H34" s="42"/>
      <c r="I34" s="42">
        <v>1288.8219999999999</v>
      </c>
      <c r="J34" s="42">
        <v>5.5460000000000003</v>
      </c>
      <c r="K34" s="42">
        <v>1283.2759999999998</v>
      </c>
      <c r="L34" s="42"/>
      <c r="M34" s="42">
        <v>896.61199999999997</v>
      </c>
      <c r="N34" s="42">
        <v>2.3200000000000003</v>
      </c>
      <c r="O34" s="42">
        <v>894.29199999999992</v>
      </c>
      <c r="P34" s="66"/>
    </row>
    <row r="35" spans="1:16" ht="29.25" customHeight="1" x14ac:dyDescent="0.3">
      <c r="B35" s="152" t="s">
        <v>60</v>
      </c>
      <c r="C35" s="152"/>
      <c r="D35" s="152"/>
      <c r="E35" s="152"/>
      <c r="F35" s="152"/>
      <c r="G35" s="152"/>
      <c r="H35" s="152"/>
      <c r="I35" s="152"/>
      <c r="J35" s="152"/>
      <c r="K35" s="152"/>
      <c r="L35" s="152"/>
      <c r="M35" s="152"/>
      <c r="N35" s="152"/>
      <c r="O35" s="152"/>
    </row>
    <row r="36" spans="1:16" ht="15" customHeight="1" x14ac:dyDescent="0.3">
      <c r="B36" s="152" t="s">
        <v>80</v>
      </c>
      <c r="C36" s="152"/>
      <c r="D36" s="152"/>
      <c r="E36" s="152"/>
      <c r="F36" s="152"/>
      <c r="G36" s="152"/>
      <c r="H36" s="152"/>
      <c r="I36" s="152"/>
      <c r="J36" s="152"/>
      <c r="K36" s="152"/>
      <c r="L36" s="152"/>
      <c r="M36" s="152"/>
      <c r="N36" s="152"/>
      <c r="O36" s="152"/>
    </row>
    <row r="37" spans="1:16" ht="11.25" customHeight="1" x14ac:dyDescent="0.3">
      <c r="B37" s="15" t="s">
        <v>120</v>
      </c>
      <c r="C37" s="12"/>
      <c r="D37" s="12"/>
      <c r="E37" s="44"/>
      <c r="F37" s="12"/>
      <c r="G37" s="12"/>
      <c r="H37" s="44"/>
      <c r="I37" s="12"/>
      <c r="J37" s="12"/>
      <c r="K37" s="12"/>
      <c r="L37" s="44"/>
      <c r="M37" s="12"/>
      <c r="N37" s="12"/>
      <c r="O37" s="59"/>
    </row>
    <row r="38" spans="1:16" s="76" customFormat="1" x14ac:dyDescent="0.3">
      <c r="B38" s="16" t="s">
        <v>43</v>
      </c>
      <c r="C38" s="44"/>
      <c r="D38" s="44"/>
      <c r="E38" s="44"/>
      <c r="F38" s="44"/>
      <c r="G38" s="44"/>
      <c r="H38" s="44"/>
      <c r="I38" s="44"/>
      <c r="J38" s="44"/>
      <c r="K38" s="44"/>
      <c r="L38" s="44"/>
      <c r="M38" s="44"/>
      <c r="N38" s="44"/>
      <c r="O38" s="1"/>
    </row>
    <row r="39" spans="1:16" s="76" customFormat="1" x14ac:dyDescent="0.3">
      <c r="B39" s="95"/>
      <c r="C39" s="95"/>
      <c r="D39" s="95"/>
      <c r="E39" s="95"/>
      <c r="F39" s="95"/>
      <c r="G39" s="95"/>
      <c r="H39" s="95"/>
      <c r="I39" s="95"/>
      <c r="J39" s="95"/>
      <c r="K39" s="95"/>
      <c r="L39" s="95"/>
      <c r="M39" s="95"/>
      <c r="N39" s="95"/>
    </row>
    <row r="40" spans="1:16" s="76" customFormat="1" ht="16.5" customHeight="1" x14ac:dyDescent="0.3">
      <c r="A40" s="1"/>
      <c r="B40" s="145" t="s">
        <v>218</v>
      </c>
      <c r="C40" s="145"/>
      <c r="D40" s="145"/>
      <c r="E40" s="145"/>
      <c r="F40" s="145"/>
      <c r="G40" s="145"/>
      <c r="H40" s="145"/>
      <c r="I40" s="145"/>
      <c r="J40" s="145"/>
      <c r="K40" s="145"/>
      <c r="L40" s="145"/>
      <c r="M40" s="145"/>
      <c r="N40" s="145"/>
      <c r="O40" s="145"/>
    </row>
    <row r="41" spans="1:16" ht="16.5" customHeight="1" x14ac:dyDescent="0.3">
      <c r="B41" s="192" t="s">
        <v>81</v>
      </c>
      <c r="C41" s="192"/>
      <c r="D41" s="192"/>
      <c r="E41" s="192"/>
      <c r="F41" s="192"/>
      <c r="G41" s="192"/>
      <c r="H41" s="192"/>
      <c r="I41" s="192"/>
      <c r="J41" s="192"/>
      <c r="K41" s="192"/>
      <c r="L41" s="192"/>
      <c r="M41" s="192"/>
      <c r="N41" s="192"/>
      <c r="O41" s="192"/>
    </row>
    <row r="42" spans="1:16" x14ac:dyDescent="0.3">
      <c r="B42" s="77"/>
      <c r="C42" s="77"/>
      <c r="D42" s="77"/>
      <c r="E42" s="77"/>
      <c r="F42" s="77"/>
      <c r="G42" s="77"/>
      <c r="H42" s="77"/>
      <c r="I42" s="77"/>
      <c r="J42" s="77"/>
      <c r="K42" s="77"/>
      <c r="L42" s="77"/>
      <c r="M42" s="77"/>
      <c r="N42" s="77"/>
      <c r="O42" s="77"/>
    </row>
    <row r="43" spans="1:16" ht="17.25" customHeight="1" thickBot="1" x14ac:dyDescent="0.35">
      <c r="B43" s="44"/>
      <c r="C43" s="44"/>
      <c r="D43" s="44"/>
      <c r="E43" s="44"/>
      <c r="F43" s="44"/>
      <c r="G43" s="44"/>
      <c r="H43" s="78" t="s">
        <v>2</v>
      </c>
      <c r="I43" s="44"/>
      <c r="J43" s="44"/>
      <c r="K43" s="44"/>
      <c r="L43" s="44"/>
      <c r="M43" s="44"/>
      <c r="N43" s="44"/>
      <c r="O43" s="44"/>
    </row>
    <row r="44" spans="1:16" ht="19.7" customHeight="1" x14ac:dyDescent="0.3">
      <c r="B44" s="147" t="s">
        <v>3</v>
      </c>
      <c r="C44" s="149" t="s">
        <v>4</v>
      </c>
      <c r="D44" s="54"/>
      <c r="E44" s="147" t="s">
        <v>5</v>
      </c>
      <c r="F44" s="147"/>
      <c r="G44" s="147"/>
      <c r="H44" s="3"/>
      <c r="I44" s="147" t="s">
        <v>6</v>
      </c>
      <c r="J44" s="147"/>
      <c r="K44" s="147"/>
      <c r="L44" s="3"/>
      <c r="M44" s="147" t="s">
        <v>7</v>
      </c>
      <c r="N44" s="147"/>
      <c r="O44" s="147"/>
    </row>
    <row r="45" spans="1:16" ht="21.75" customHeight="1"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1:16" x14ac:dyDescent="0.3">
      <c r="B46" s="55" t="s">
        <v>13</v>
      </c>
      <c r="C46" s="29">
        <v>168953.85699994006</v>
      </c>
      <c r="D46" s="29"/>
      <c r="E46" s="29">
        <v>27053.721999939997</v>
      </c>
      <c r="F46" s="29">
        <v>22172.485999929999</v>
      </c>
      <c r="G46" s="29">
        <v>4881.2360000100007</v>
      </c>
      <c r="H46" s="29"/>
      <c r="I46" s="29">
        <v>27639.598000000005</v>
      </c>
      <c r="J46" s="29">
        <v>4261.320999999999</v>
      </c>
      <c r="K46" s="29">
        <v>23378.276999999995</v>
      </c>
      <c r="L46" s="29"/>
      <c r="M46" s="29">
        <v>114260.537</v>
      </c>
      <c r="N46" s="29">
        <v>2335.8280000000004</v>
      </c>
      <c r="O46" s="8">
        <v>111924.709</v>
      </c>
    </row>
    <row r="47" spans="1:16" ht="20.25" customHeight="1" x14ac:dyDescent="0.3">
      <c r="A47" s="79"/>
      <c r="B47" s="80" t="s">
        <v>82</v>
      </c>
      <c r="C47" s="65">
        <v>3353.5419999999995</v>
      </c>
      <c r="D47" s="65"/>
      <c r="E47" s="65">
        <v>856.33700000000022</v>
      </c>
      <c r="F47" s="65">
        <v>852.83700000000022</v>
      </c>
      <c r="G47" s="65">
        <v>3.5</v>
      </c>
      <c r="H47" s="65"/>
      <c r="I47" s="65">
        <v>754.27099999999984</v>
      </c>
      <c r="J47" s="33">
        <v>31.273</v>
      </c>
      <c r="K47" s="33">
        <v>722.99799999999982</v>
      </c>
      <c r="L47" s="35"/>
      <c r="M47" s="33">
        <v>1742.9339999999993</v>
      </c>
      <c r="N47" s="33">
        <v>0</v>
      </c>
      <c r="O47" s="68">
        <v>1742.9339999999993</v>
      </c>
    </row>
    <row r="48" spans="1:16" s="68" customFormat="1" ht="13.5" customHeight="1" x14ac:dyDescent="0.25">
      <c r="A48" s="79"/>
      <c r="B48" s="80" t="s">
        <v>83</v>
      </c>
      <c r="C48" s="65">
        <v>10775.672999999997</v>
      </c>
      <c r="D48" s="65"/>
      <c r="E48" s="65">
        <v>1889.4350000000004</v>
      </c>
      <c r="F48" s="65">
        <v>1385.527</v>
      </c>
      <c r="G48" s="65">
        <v>503.90800000000024</v>
      </c>
      <c r="H48" s="65"/>
      <c r="I48" s="65">
        <v>1223.0469999999996</v>
      </c>
      <c r="J48" s="33">
        <v>526.66199999999992</v>
      </c>
      <c r="K48" s="33">
        <v>696.38499999999976</v>
      </c>
      <c r="L48" s="35"/>
      <c r="M48" s="33">
        <v>7663.1909999999971</v>
      </c>
      <c r="N48" s="33">
        <v>112.40999999999998</v>
      </c>
      <c r="O48" s="68">
        <v>7550.7809999999972</v>
      </c>
      <c r="P48" s="66"/>
    </row>
    <row r="49" spans="1:16" s="68" customFormat="1" ht="13.5" customHeight="1" x14ac:dyDescent="0.25">
      <c r="A49" s="79"/>
      <c r="B49" s="80" t="s">
        <v>84</v>
      </c>
      <c r="C49" s="65">
        <v>7520.0039999999972</v>
      </c>
      <c r="D49" s="65"/>
      <c r="E49" s="65">
        <v>1281.0300000000002</v>
      </c>
      <c r="F49" s="65">
        <v>974.7800000000002</v>
      </c>
      <c r="G49" s="65">
        <v>306.25</v>
      </c>
      <c r="H49" s="65"/>
      <c r="I49" s="65">
        <v>1290.8300000000004</v>
      </c>
      <c r="J49" s="33">
        <v>9.0680000000000014</v>
      </c>
      <c r="K49" s="33">
        <v>1281.7620000000004</v>
      </c>
      <c r="L49" s="35"/>
      <c r="M49" s="33">
        <v>4948.1439999999966</v>
      </c>
      <c r="N49" s="33">
        <v>7.27</v>
      </c>
      <c r="O49" s="33">
        <v>4940.8739999999962</v>
      </c>
      <c r="P49" s="66"/>
    </row>
    <row r="50" spans="1:16" s="68" customFormat="1" ht="13.5" customHeight="1" x14ac:dyDescent="0.25">
      <c r="A50" s="79"/>
      <c r="B50" s="80" t="s">
        <v>85</v>
      </c>
      <c r="C50" s="65">
        <v>9392.5059999999976</v>
      </c>
      <c r="D50" s="65"/>
      <c r="E50" s="65">
        <v>1497.052999999999</v>
      </c>
      <c r="F50" s="65">
        <v>1215.5749999999989</v>
      </c>
      <c r="G50" s="65">
        <v>281.47800000000001</v>
      </c>
      <c r="H50" s="65"/>
      <c r="I50" s="65">
        <v>1740.0050000000001</v>
      </c>
      <c r="J50" s="33">
        <v>978.721</v>
      </c>
      <c r="K50" s="33">
        <v>761.28399999999999</v>
      </c>
      <c r="L50" s="35"/>
      <c r="M50" s="33">
        <v>6155.4479999999985</v>
      </c>
      <c r="N50" s="33">
        <v>434.28499999999991</v>
      </c>
      <c r="O50" s="33">
        <v>5721.1629999999986</v>
      </c>
      <c r="P50" s="66"/>
    </row>
    <row r="51" spans="1:16" s="68" customFormat="1" ht="13.5" customHeight="1" x14ac:dyDescent="0.25">
      <c r="A51" s="79"/>
      <c r="B51" s="80" t="s">
        <v>86</v>
      </c>
      <c r="C51" s="65">
        <v>12316.373999999998</v>
      </c>
      <c r="D51" s="65"/>
      <c r="E51" s="65">
        <v>1800.33</v>
      </c>
      <c r="F51" s="65">
        <v>1729.9929999999999</v>
      </c>
      <c r="G51" s="65">
        <v>70.337000000000003</v>
      </c>
      <c r="H51" s="65"/>
      <c r="I51" s="65">
        <v>1854.4799999999996</v>
      </c>
      <c r="J51" s="33">
        <v>296.57</v>
      </c>
      <c r="K51" s="33">
        <v>1557.9099999999996</v>
      </c>
      <c r="L51" s="35"/>
      <c r="M51" s="33">
        <v>8661.5639999999985</v>
      </c>
      <c r="N51" s="33">
        <v>34.332000000000001</v>
      </c>
      <c r="O51" s="33">
        <v>8627.2319999999982</v>
      </c>
      <c r="P51" s="66"/>
    </row>
    <row r="52" spans="1:16" s="68" customFormat="1" ht="13.5" customHeight="1" x14ac:dyDescent="0.25">
      <c r="A52" s="79"/>
      <c r="B52" s="80" t="s">
        <v>87</v>
      </c>
      <c r="C52" s="65">
        <v>14652.539999930013</v>
      </c>
      <c r="D52" s="65"/>
      <c r="E52" s="65">
        <v>1739.94399993</v>
      </c>
      <c r="F52" s="65">
        <v>1502.5079999300001</v>
      </c>
      <c r="G52" s="65">
        <v>237.43599999999998</v>
      </c>
      <c r="H52" s="65"/>
      <c r="I52" s="65">
        <v>888.77800000000002</v>
      </c>
      <c r="J52" s="33">
        <v>31.779</v>
      </c>
      <c r="K52" s="33">
        <v>856.99900000000002</v>
      </c>
      <c r="L52" s="35"/>
      <c r="M52" s="33">
        <v>12023.818000000014</v>
      </c>
      <c r="N52" s="33">
        <v>40.109999999999992</v>
      </c>
      <c r="O52" s="33">
        <v>11983.708000000013</v>
      </c>
      <c r="P52" s="66"/>
    </row>
    <row r="53" spans="1:16" s="68" customFormat="1" ht="13.5" customHeight="1" x14ac:dyDescent="0.25">
      <c r="A53" s="67"/>
      <c r="B53" s="80" t="s">
        <v>88</v>
      </c>
      <c r="C53" s="65">
        <v>52.063000000000002</v>
      </c>
      <c r="D53" s="65"/>
      <c r="E53" s="65">
        <v>45.164000000000001</v>
      </c>
      <c r="F53" s="65">
        <v>45.164000000000001</v>
      </c>
      <c r="G53" s="65">
        <v>0</v>
      </c>
      <c r="H53" s="65"/>
      <c r="I53" s="65">
        <v>6.899</v>
      </c>
      <c r="J53" s="33">
        <v>5.1509999999999998</v>
      </c>
      <c r="K53" s="33">
        <v>1.748</v>
      </c>
      <c r="L53" s="35"/>
      <c r="M53" s="33">
        <v>0</v>
      </c>
      <c r="N53" s="33">
        <v>0</v>
      </c>
      <c r="O53" s="33">
        <v>0</v>
      </c>
      <c r="P53" s="66"/>
    </row>
    <row r="54" spans="1:16" s="68" customFormat="1" ht="13.5" customHeight="1" x14ac:dyDescent="0.25">
      <c r="A54" s="79"/>
      <c r="B54" s="80" t="s">
        <v>89</v>
      </c>
      <c r="C54" s="65">
        <v>17502.889000000006</v>
      </c>
      <c r="D54" s="65"/>
      <c r="E54" s="65">
        <v>2034.0739999999994</v>
      </c>
      <c r="F54" s="65">
        <v>1626.0149999999994</v>
      </c>
      <c r="G54" s="65">
        <v>408.05899999999997</v>
      </c>
      <c r="H54" s="65"/>
      <c r="I54" s="65">
        <v>2802.7020000000002</v>
      </c>
      <c r="J54" s="33">
        <v>564.43299999999977</v>
      </c>
      <c r="K54" s="33">
        <v>2238.2690000000002</v>
      </c>
      <c r="L54" s="35"/>
      <c r="M54" s="33">
        <v>12666.113000000007</v>
      </c>
      <c r="N54" s="33">
        <v>304.63799999999998</v>
      </c>
      <c r="O54" s="33">
        <v>12361.475000000006</v>
      </c>
      <c r="P54" s="66"/>
    </row>
    <row r="55" spans="1:16" s="68" customFormat="1" ht="13.5" customHeight="1" x14ac:dyDescent="0.25">
      <c r="A55" s="79"/>
      <c r="B55" s="80" t="s">
        <v>90</v>
      </c>
      <c r="C55" s="65">
        <v>8269.5550000000003</v>
      </c>
      <c r="D55" s="65"/>
      <c r="E55" s="65">
        <v>1446.2369999999999</v>
      </c>
      <c r="F55" s="65">
        <v>1191.2239999999999</v>
      </c>
      <c r="G55" s="65">
        <v>255.01300000000001</v>
      </c>
      <c r="H55" s="65"/>
      <c r="I55" s="65">
        <v>2002.2580000000005</v>
      </c>
      <c r="J55" s="33">
        <v>21.294000000000004</v>
      </c>
      <c r="K55" s="33">
        <v>1980.9640000000004</v>
      </c>
      <c r="L55" s="35"/>
      <c r="M55" s="33">
        <v>4821.0599999999995</v>
      </c>
      <c r="N55" s="33">
        <v>0.66</v>
      </c>
      <c r="O55" s="33">
        <v>4820.3999999999996</v>
      </c>
      <c r="P55" s="66"/>
    </row>
    <row r="56" spans="1:16" s="68" customFormat="1" ht="13.5" customHeight="1" x14ac:dyDescent="0.25">
      <c r="A56" s="79"/>
      <c r="B56" s="80" t="s">
        <v>91</v>
      </c>
      <c r="C56" s="65">
        <v>7866.2019999999975</v>
      </c>
      <c r="D56" s="65"/>
      <c r="E56" s="65">
        <v>1317.7980000000002</v>
      </c>
      <c r="F56" s="65">
        <v>802.64300000000003</v>
      </c>
      <c r="G56" s="65">
        <v>515.15500000000009</v>
      </c>
      <c r="H56" s="65"/>
      <c r="I56" s="65">
        <v>772.44</v>
      </c>
      <c r="J56" s="33">
        <v>16.684000000000001</v>
      </c>
      <c r="K56" s="33">
        <v>755.75600000000009</v>
      </c>
      <c r="L56" s="35"/>
      <c r="M56" s="33">
        <v>5775.9639999999972</v>
      </c>
      <c r="N56" s="33">
        <v>81.235000000000014</v>
      </c>
      <c r="O56" s="33">
        <v>5694.7289999999975</v>
      </c>
      <c r="P56" s="66"/>
    </row>
    <row r="57" spans="1:16" s="68" customFormat="1" ht="13.5" customHeight="1" x14ac:dyDescent="0.25">
      <c r="A57" s="79"/>
      <c r="B57" s="80" t="s">
        <v>92</v>
      </c>
      <c r="C57" s="65">
        <v>3504.5730000000008</v>
      </c>
      <c r="D57" s="65"/>
      <c r="E57" s="65">
        <v>697.30000000000007</v>
      </c>
      <c r="F57" s="65">
        <v>683.25000000000011</v>
      </c>
      <c r="G57" s="65">
        <v>14.049999999999999</v>
      </c>
      <c r="H57" s="65"/>
      <c r="I57" s="65">
        <v>743.0630000000001</v>
      </c>
      <c r="J57" s="33">
        <v>48.940999999999995</v>
      </c>
      <c r="K57" s="33">
        <v>694.12200000000007</v>
      </c>
      <c r="L57" s="35"/>
      <c r="M57" s="33">
        <v>2064.2100000000005</v>
      </c>
      <c r="N57" s="33">
        <v>82.019999999999982</v>
      </c>
      <c r="O57" s="33">
        <v>1982.1900000000005</v>
      </c>
      <c r="P57" s="66"/>
    </row>
    <row r="58" spans="1:16" s="68" customFormat="1" ht="13.5" customHeight="1" x14ac:dyDescent="0.25">
      <c r="A58" s="79"/>
      <c r="B58" s="80" t="s">
        <v>93</v>
      </c>
      <c r="C58" s="65">
        <v>12015.565000000006</v>
      </c>
      <c r="D58" s="65"/>
      <c r="E58" s="65">
        <v>1774.8649999999993</v>
      </c>
      <c r="F58" s="65">
        <v>1036.4639999999995</v>
      </c>
      <c r="G58" s="65">
        <v>738.40099999999995</v>
      </c>
      <c r="H58" s="65"/>
      <c r="I58" s="65">
        <v>1125.1850000000002</v>
      </c>
      <c r="J58" s="33">
        <v>76.728999999999985</v>
      </c>
      <c r="K58" s="33">
        <v>1048.4560000000001</v>
      </c>
      <c r="L58" s="35"/>
      <c r="M58" s="33">
        <v>9115.5150000000067</v>
      </c>
      <c r="N58" s="33">
        <v>212.8959999999999</v>
      </c>
      <c r="O58" s="33">
        <v>8902.6190000000061</v>
      </c>
      <c r="P58" s="66"/>
    </row>
    <row r="59" spans="1:16" s="68" customFormat="1" ht="13.5" customHeight="1" x14ac:dyDescent="0.25">
      <c r="A59" s="79"/>
      <c r="B59" s="80" t="s">
        <v>94</v>
      </c>
      <c r="C59" s="65">
        <v>8805.6490000000031</v>
      </c>
      <c r="D59" s="65"/>
      <c r="E59" s="65">
        <v>1261.808</v>
      </c>
      <c r="F59" s="65">
        <v>922.9340000000002</v>
      </c>
      <c r="G59" s="65">
        <v>338.87399999999991</v>
      </c>
      <c r="H59" s="65"/>
      <c r="I59" s="65">
        <v>1941.1710000000005</v>
      </c>
      <c r="J59" s="33">
        <v>106.39699999999999</v>
      </c>
      <c r="K59" s="33">
        <v>1834.7740000000006</v>
      </c>
      <c r="L59" s="35"/>
      <c r="M59" s="33">
        <v>5602.6700000000028</v>
      </c>
      <c r="N59" s="33">
        <v>155.84000000000003</v>
      </c>
      <c r="O59" s="33">
        <v>5446.8300000000027</v>
      </c>
      <c r="P59" s="66"/>
    </row>
    <row r="60" spans="1:16" s="68" customFormat="1" ht="13.5" customHeight="1" x14ac:dyDescent="0.25">
      <c r="A60" s="79"/>
      <c r="B60" s="80" t="s">
        <v>95</v>
      </c>
      <c r="C60" s="65">
        <v>3200.1170000000002</v>
      </c>
      <c r="D60" s="65"/>
      <c r="E60" s="65">
        <v>469.04900000000004</v>
      </c>
      <c r="F60" s="65">
        <v>450.82100000000003</v>
      </c>
      <c r="G60" s="65">
        <v>18.228000000000002</v>
      </c>
      <c r="H60" s="65"/>
      <c r="I60" s="65">
        <v>674.46299999999997</v>
      </c>
      <c r="J60" s="33">
        <v>208.61300000000003</v>
      </c>
      <c r="K60" s="33">
        <v>465.84999999999997</v>
      </c>
      <c r="L60" s="35"/>
      <c r="M60" s="33">
        <v>2056.605</v>
      </c>
      <c r="N60" s="33">
        <v>27.549999999999997</v>
      </c>
      <c r="O60" s="33">
        <v>2029.0549999999998</v>
      </c>
      <c r="P60" s="66"/>
    </row>
    <row r="61" spans="1:16" s="68" customFormat="1" ht="13.5" customHeight="1" x14ac:dyDescent="0.25">
      <c r="A61" s="79"/>
      <c r="B61" s="80" t="s">
        <v>96</v>
      </c>
      <c r="C61" s="65">
        <v>7546.7239999999983</v>
      </c>
      <c r="D61" s="65"/>
      <c r="E61" s="65">
        <v>1685.7609999999995</v>
      </c>
      <c r="F61" s="65">
        <v>1352.9119999999996</v>
      </c>
      <c r="G61" s="65">
        <v>332.84900000000005</v>
      </c>
      <c r="H61" s="65"/>
      <c r="I61" s="65">
        <v>1609.6720000000005</v>
      </c>
      <c r="J61" s="33">
        <v>160.41299999999998</v>
      </c>
      <c r="K61" s="33">
        <v>1449.2590000000005</v>
      </c>
      <c r="L61" s="35"/>
      <c r="M61" s="33">
        <v>4251.2909999999983</v>
      </c>
      <c r="N61" s="33">
        <v>166.34899999999999</v>
      </c>
      <c r="O61" s="33">
        <v>4084.9419999999982</v>
      </c>
      <c r="P61" s="66"/>
    </row>
    <row r="62" spans="1:16" s="68" customFormat="1" ht="13.5" customHeight="1" x14ac:dyDescent="0.25">
      <c r="A62" s="79"/>
      <c r="B62" s="80" t="s">
        <v>97</v>
      </c>
      <c r="C62" s="65">
        <v>895.09899999999993</v>
      </c>
      <c r="D62" s="65"/>
      <c r="E62" s="65">
        <v>128.87099999999998</v>
      </c>
      <c r="F62" s="65">
        <v>88.611999999999995</v>
      </c>
      <c r="G62" s="65">
        <v>40.259</v>
      </c>
      <c r="H62" s="65"/>
      <c r="I62" s="65">
        <v>320.74699999999996</v>
      </c>
      <c r="J62" s="33">
        <v>97.166999999999987</v>
      </c>
      <c r="K62" s="33">
        <v>223.57999999999998</v>
      </c>
      <c r="L62" s="35"/>
      <c r="M62" s="33">
        <v>445.48100000000005</v>
      </c>
      <c r="N62" s="33">
        <v>19.130000000000003</v>
      </c>
      <c r="O62" s="33">
        <v>426.35100000000006</v>
      </c>
      <c r="P62" s="66"/>
    </row>
    <row r="63" spans="1:16" s="68" customFormat="1" ht="13.5" customHeight="1" x14ac:dyDescent="0.25">
      <c r="A63" s="79"/>
      <c r="B63" s="80" t="s">
        <v>98</v>
      </c>
      <c r="C63" s="65">
        <v>2015.0390000000002</v>
      </c>
      <c r="D63" s="65"/>
      <c r="E63" s="65">
        <v>399.27599999999995</v>
      </c>
      <c r="F63" s="65">
        <v>399.27599999999995</v>
      </c>
      <c r="G63" s="65">
        <v>0</v>
      </c>
      <c r="H63" s="65"/>
      <c r="I63" s="65">
        <v>339.97900000000004</v>
      </c>
      <c r="J63" s="33">
        <v>2.3380000000000001</v>
      </c>
      <c r="K63" s="33">
        <v>337.64100000000002</v>
      </c>
      <c r="L63" s="35"/>
      <c r="M63" s="33">
        <v>1275.7840000000003</v>
      </c>
      <c r="N63" s="33">
        <v>6.4049999999999994</v>
      </c>
      <c r="O63" s="33">
        <v>1269.3790000000004</v>
      </c>
      <c r="P63" s="66"/>
    </row>
    <row r="64" spans="1:16" s="68" customFormat="1" ht="13.5" customHeight="1" x14ac:dyDescent="0.25">
      <c r="A64" s="79"/>
      <c r="B64" s="80" t="s">
        <v>99</v>
      </c>
      <c r="C64" s="65">
        <v>2641.2040000000002</v>
      </c>
      <c r="D64" s="65"/>
      <c r="E64" s="65">
        <v>469.24500000000006</v>
      </c>
      <c r="F64" s="65">
        <v>469.24500000000006</v>
      </c>
      <c r="G64" s="65">
        <v>0</v>
      </c>
      <c r="H64" s="65"/>
      <c r="I64" s="65">
        <v>906.90899999999988</v>
      </c>
      <c r="J64" s="33">
        <v>117.61199999999999</v>
      </c>
      <c r="K64" s="33">
        <v>789.29699999999991</v>
      </c>
      <c r="L64" s="35"/>
      <c r="M64" s="33">
        <v>1265.0500000000002</v>
      </c>
      <c r="N64" s="33">
        <v>99.750000000000014</v>
      </c>
      <c r="O64" s="33">
        <v>1165.3000000000002</v>
      </c>
      <c r="P64" s="66"/>
    </row>
    <row r="65" spans="1:16" s="68" customFormat="1" ht="13.5" customHeight="1" x14ac:dyDescent="0.25">
      <c r="A65" s="79"/>
      <c r="B65" s="80" t="s">
        <v>100</v>
      </c>
      <c r="C65" s="65">
        <v>3291.0530000000003</v>
      </c>
      <c r="D65" s="65"/>
      <c r="E65" s="65">
        <v>588.79499999999985</v>
      </c>
      <c r="F65" s="65">
        <v>362.96099999999996</v>
      </c>
      <c r="G65" s="65">
        <v>225.83399999999995</v>
      </c>
      <c r="H65" s="65"/>
      <c r="I65" s="65">
        <v>607.57699999999988</v>
      </c>
      <c r="J65" s="33">
        <v>34.434999999999995</v>
      </c>
      <c r="K65" s="33">
        <v>573.14199999999994</v>
      </c>
      <c r="L65" s="35"/>
      <c r="M65" s="33">
        <v>2094.6810000000005</v>
      </c>
      <c r="N65" s="33">
        <v>0</v>
      </c>
      <c r="O65" s="33">
        <v>2094.6810000000005</v>
      </c>
      <c r="P65" s="66"/>
    </row>
    <row r="66" spans="1:16" s="68" customFormat="1" ht="13.5" customHeight="1" x14ac:dyDescent="0.25">
      <c r="A66" s="79"/>
      <c r="B66" s="80" t="s">
        <v>101</v>
      </c>
      <c r="C66" s="65">
        <v>8863.9610000000011</v>
      </c>
      <c r="D66" s="65"/>
      <c r="E66" s="65">
        <v>1734.5980000000011</v>
      </c>
      <c r="F66" s="65">
        <v>1582.976000000001</v>
      </c>
      <c r="G66" s="65">
        <v>151.62200000000001</v>
      </c>
      <c r="H66" s="65"/>
      <c r="I66" s="65">
        <v>634.48800000000006</v>
      </c>
      <c r="J66" s="33">
        <v>168.90599999999998</v>
      </c>
      <c r="K66" s="33">
        <v>465.58200000000005</v>
      </c>
      <c r="L66" s="35"/>
      <c r="M66" s="33">
        <v>6494.875</v>
      </c>
      <c r="N66" s="33">
        <v>333.66300000000018</v>
      </c>
      <c r="O66" s="33">
        <v>6161.2119999999995</v>
      </c>
      <c r="P66" s="66"/>
    </row>
    <row r="67" spans="1:16" s="68" customFormat="1" ht="13.5" customHeight="1" x14ac:dyDescent="0.25">
      <c r="A67" s="79"/>
      <c r="B67" s="80" t="s">
        <v>102</v>
      </c>
      <c r="C67" s="65">
        <v>13214.143999999997</v>
      </c>
      <c r="D67" s="65"/>
      <c r="E67" s="65">
        <v>2018.0390000000002</v>
      </c>
      <c r="F67" s="65">
        <v>1803.1620000000003</v>
      </c>
      <c r="G67" s="65">
        <v>214.87700000000001</v>
      </c>
      <c r="H67" s="65"/>
      <c r="I67" s="65">
        <v>2369.0669999999996</v>
      </c>
      <c r="J67" s="33">
        <v>404.28300000000002</v>
      </c>
      <c r="K67" s="33">
        <v>1964.7839999999997</v>
      </c>
      <c r="L67" s="35"/>
      <c r="M67" s="33">
        <v>8827.0379999999968</v>
      </c>
      <c r="N67" s="33">
        <v>42.413000000000004</v>
      </c>
      <c r="O67" s="33">
        <v>8784.6249999999964</v>
      </c>
      <c r="P67" s="66"/>
    </row>
    <row r="68" spans="1:16" s="68" customFormat="1" ht="13.5" customHeight="1" x14ac:dyDescent="0.25">
      <c r="A68" s="79"/>
      <c r="B68" s="80" t="s">
        <v>103</v>
      </c>
      <c r="C68" s="65">
        <v>5238.5580000099999</v>
      </c>
      <c r="D68" s="65"/>
      <c r="E68" s="65">
        <v>822.78100000999996</v>
      </c>
      <c r="F68" s="65">
        <v>752.6819999999999</v>
      </c>
      <c r="G68" s="65">
        <v>70.099000010000012</v>
      </c>
      <c r="H68" s="65"/>
      <c r="I68" s="65">
        <v>965.54299999999989</v>
      </c>
      <c r="J68" s="33">
        <v>191.56700000000004</v>
      </c>
      <c r="K68" s="33">
        <v>773.97599999999989</v>
      </c>
      <c r="L68" s="35"/>
      <c r="M68" s="39">
        <v>3450.2340000000004</v>
      </c>
      <c r="N68" s="33">
        <v>0.09</v>
      </c>
      <c r="O68" s="33">
        <v>3450.1440000000002</v>
      </c>
      <c r="P68" s="66"/>
    </row>
    <row r="69" spans="1:16" s="68" customFormat="1" ht="13.5" customHeight="1" x14ac:dyDescent="0.25">
      <c r="A69" s="79"/>
      <c r="B69" s="80" t="s">
        <v>104</v>
      </c>
      <c r="C69" s="65">
        <v>2516.0190000000002</v>
      </c>
      <c r="D69" s="65"/>
      <c r="E69" s="65">
        <v>631.38299999999981</v>
      </c>
      <c r="F69" s="65">
        <v>580.38899999999978</v>
      </c>
      <c r="G69" s="65">
        <v>50.993999999999993</v>
      </c>
      <c r="H69" s="65"/>
      <c r="I69" s="65">
        <v>489.70400000000001</v>
      </c>
      <c r="J69" s="33">
        <v>85.003</v>
      </c>
      <c r="K69" s="33">
        <v>404.70100000000002</v>
      </c>
      <c r="L69" s="35"/>
      <c r="M69" s="39">
        <v>1394.9320000000002</v>
      </c>
      <c r="N69" s="33">
        <v>163.13199999999995</v>
      </c>
      <c r="O69" s="33">
        <v>1231.8000000000002</v>
      </c>
      <c r="P69" s="66"/>
    </row>
    <row r="70" spans="1:16" s="68" customFormat="1" ht="13.5" customHeight="1" x14ac:dyDescent="0.25">
      <c r="A70" s="79"/>
      <c r="B70" s="80" t="s">
        <v>105</v>
      </c>
      <c r="C70" s="65">
        <v>993.29500000000019</v>
      </c>
      <c r="D70" s="65"/>
      <c r="E70" s="65">
        <v>138.47399999999999</v>
      </c>
      <c r="F70" s="65">
        <v>138.47399999999999</v>
      </c>
      <c r="G70" s="65">
        <v>0</v>
      </c>
      <c r="H70" s="65"/>
      <c r="I70" s="65">
        <v>287.49799999999999</v>
      </c>
      <c r="J70" s="33">
        <v>71.736000000000004</v>
      </c>
      <c r="K70" s="33">
        <v>215.76199999999997</v>
      </c>
      <c r="L70" s="35"/>
      <c r="M70" s="39">
        <v>567.32300000000021</v>
      </c>
      <c r="N70" s="33">
        <v>9.33</v>
      </c>
      <c r="O70" s="33">
        <v>557.99300000000017</v>
      </c>
      <c r="P70" s="66"/>
    </row>
    <row r="71" spans="1:16" s="68" customFormat="1" ht="13.5" customHeight="1" thickBot="1" x14ac:dyDescent="0.3">
      <c r="A71" s="79"/>
      <c r="B71" s="81" t="s">
        <v>106</v>
      </c>
      <c r="C71" s="42">
        <v>2511.509</v>
      </c>
      <c r="D71" s="42"/>
      <c r="E71" s="42">
        <v>326.07499999999993</v>
      </c>
      <c r="F71" s="42">
        <v>222.06199999999993</v>
      </c>
      <c r="G71" s="42">
        <v>104.01300000000001</v>
      </c>
      <c r="H71" s="42"/>
      <c r="I71" s="42">
        <v>1288.8219999999999</v>
      </c>
      <c r="J71" s="42">
        <v>5.5460000000000003</v>
      </c>
      <c r="K71" s="42">
        <v>1283.2759999999998</v>
      </c>
      <c r="L71" s="42"/>
      <c r="M71" s="42">
        <v>896.61199999999997</v>
      </c>
      <c r="N71" s="42">
        <v>2.3200000000000003</v>
      </c>
      <c r="O71" s="42">
        <v>894.29199999999992</v>
      </c>
      <c r="P71" s="66"/>
    </row>
    <row r="72" spans="1:16" s="44" customFormat="1" ht="34.5" customHeight="1" x14ac:dyDescent="0.25">
      <c r="B72" s="152" t="s">
        <v>60</v>
      </c>
      <c r="C72" s="152"/>
      <c r="D72" s="152"/>
      <c r="E72" s="152"/>
      <c r="F72" s="152"/>
      <c r="G72" s="152"/>
      <c r="H72" s="152"/>
      <c r="I72" s="152"/>
      <c r="J72" s="152"/>
      <c r="K72" s="152"/>
      <c r="L72" s="152"/>
      <c r="M72" s="152"/>
      <c r="N72" s="152"/>
      <c r="O72" s="152"/>
    </row>
    <row r="73" spans="1:16" s="44" customFormat="1" ht="15" customHeight="1" x14ac:dyDescent="0.25">
      <c r="B73" s="155" t="s">
        <v>80</v>
      </c>
      <c r="C73" s="155"/>
      <c r="D73" s="155"/>
      <c r="E73" s="155"/>
      <c r="F73" s="155"/>
      <c r="G73" s="155"/>
      <c r="H73" s="155"/>
      <c r="I73" s="155"/>
      <c r="J73" s="155"/>
      <c r="K73" s="155"/>
      <c r="L73" s="155"/>
      <c r="M73" s="155"/>
      <c r="N73" s="155"/>
      <c r="O73" s="155"/>
    </row>
    <row r="74" spans="1:16" s="44" customFormat="1" ht="15" customHeight="1" x14ac:dyDescent="0.25">
      <c r="B74" s="15" t="s">
        <v>107</v>
      </c>
    </row>
    <row r="75" spans="1:16" s="44" customFormat="1" ht="11.25" customHeight="1" x14ac:dyDescent="0.25">
      <c r="B75" s="16" t="s">
        <v>43</v>
      </c>
    </row>
    <row r="78" spans="1:16" x14ac:dyDescent="0.3">
      <c r="O78" s="69"/>
    </row>
    <row r="79" spans="1:16" x14ac:dyDescent="0.3">
      <c r="O79" s="69"/>
      <c r="P79" s="70"/>
    </row>
    <row r="80" spans="1:16" x14ac:dyDescent="0.3">
      <c r="P80" s="70"/>
    </row>
  </sheetData>
  <mergeCells count="19">
    <mergeCell ref="B73:O73"/>
    <mergeCell ref="B72:O72"/>
    <mergeCell ref="B44:B45"/>
    <mergeCell ref="C44:C45"/>
    <mergeCell ref="E44:G44"/>
    <mergeCell ref="I44:K44"/>
    <mergeCell ref="M44:O44"/>
    <mergeCell ref="B6:O6"/>
    <mergeCell ref="B3:O3"/>
    <mergeCell ref="B4:O4"/>
    <mergeCell ref="B41:O41"/>
    <mergeCell ref="B35:O35"/>
    <mergeCell ref="B36:O36"/>
    <mergeCell ref="B40:O40"/>
    <mergeCell ref="B7:B8"/>
    <mergeCell ref="C7:C8"/>
    <mergeCell ref="E7:G7"/>
    <mergeCell ref="I7:K7"/>
    <mergeCell ref="M7:O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78"/>
  <sheetViews>
    <sheetView topLeftCell="A43" zoomScale="80" zoomScaleNormal="80" workbookViewId="0">
      <selection activeCell="J91" sqref="J91"/>
    </sheetView>
  </sheetViews>
  <sheetFormatPr baseColWidth="10" defaultColWidth="11.42578125" defaultRowHeight="16.5" x14ac:dyDescent="0.3"/>
  <cols>
    <col min="1" max="1" width="7.140625" style="1" customWidth="1"/>
    <col min="2" max="2" width="20.5703125" style="1" customWidth="1"/>
    <col min="3" max="3" width="13.5703125" style="1" customWidth="1"/>
    <col min="4" max="4" width="4.28515625" style="1" customWidth="1"/>
    <col min="5" max="5" width="12.140625" style="1" customWidth="1"/>
    <col min="6" max="6" width="15.42578125" style="1" customWidth="1"/>
    <col min="7" max="7" width="19.7109375" style="1" customWidth="1"/>
    <col min="8" max="8" width="5.28515625" style="1" customWidth="1"/>
    <col min="9" max="9" width="11.42578125" style="1"/>
    <col min="10" max="10" width="13.85546875" style="1" customWidth="1"/>
    <col min="11" max="11" width="18.5703125" style="1" customWidth="1"/>
    <col min="12" max="12" width="5.7109375" style="1" customWidth="1"/>
    <col min="13" max="13" width="14" style="1" customWidth="1"/>
    <col min="14" max="14" width="16" style="1" customWidth="1"/>
    <col min="15" max="15" width="19" style="1" customWidth="1"/>
    <col min="16" max="16" width="7.5703125" style="1" customWidth="1"/>
    <col min="17" max="16384" width="11.42578125" style="1"/>
  </cols>
  <sheetData>
    <row r="1" spans="1:16" s="76" customFormat="1" x14ac:dyDescent="0.3"/>
    <row r="3" spans="1:16" s="82" customFormat="1" ht="33.950000000000003" customHeight="1" x14ac:dyDescent="0.25">
      <c r="B3" s="145" t="s">
        <v>136</v>
      </c>
      <c r="C3" s="145"/>
      <c r="D3" s="145"/>
      <c r="E3" s="145"/>
      <c r="F3" s="145"/>
      <c r="G3" s="145"/>
      <c r="H3" s="145"/>
      <c r="I3" s="145"/>
      <c r="J3" s="145"/>
      <c r="K3" s="145"/>
      <c r="L3" s="145"/>
      <c r="M3" s="145"/>
      <c r="N3" s="145"/>
      <c r="O3" s="145"/>
    </row>
    <row r="4" spans="1:16" s="83" customFormat="1" ht="16.5" customHeight="1" x14ac:dyDescent="0.3">
      <c r="B4" s="146" t="s">
        <v>108</v>
      </c>
      <c r="C4" s="146"/>
      <c r="D4" s="146"/>
      <c r="E4" s="146"/>
      <c r="F4" s="146"/>
      <c r="G4" s="146"/>
      <c r="H4" s="146"/>
      <c r="I4" s="146"/>
      <c r="J4" s="146"/>
      <c r="K4" s="146"/>
      <c r="L4" s="146"/>
      <c r="M4" s="146"/>
      <c r="N4" s="146"/>
      <c r="O4" s="146"/>
      <c r="P4" s="84"/>
    </row>
    <row r="5" spans="1:16" x14ac:dyDescent="0.3">
      <c r="O5" s="59"/>
    </row>
    <row r="6" spans="1:16" ht="17.25" customHeight="1" thickBot="1" x14ac:dyDescent="0.35">
      <c r="B6" s="144" t="s">
        <v>2</v>
      </c>
      <c r="C6" s="144"/>
      <c r="D6" s="144"/>
      <c r="E6" s="144"/>
      <c r="F6" s="144"/>
      <c r="G6" s="144"/>
      <c r="H6" s="144"/>
      <c r="I6" s="144"/>
      <c r="J6" s="144"/>
      <c r="K6" s="144"/>
      <c r="L6" s="144"/>
      <c r="M6" s="144"/>
      <c r="N6" s="144"/>
      <c r="O6" s="144"/>
    </row>
    <row r="7" spans="1:16" ht="21.75" customHeight="1" x14ac:dyDescent="0.3">
      <c r="B7" s="147" t="s">
        <v>3</v>
      </c>
      <c r="C7" s="149" t="s">
        <v>4</v>
      </c>
      <c r="D7" s="54"/>
      <c r="E7" s="151" t="s">
        <v>5</v>
      </c>
      <c r="F7" s="151"/>
      <c r="G7" s="151"/>
      <c r="H7" s="3"/>
      <c r="I7" s="147" t="s">
        <v>6</v>
      </c>
      <c r="J7" s="147"/>
      <c r="K7" s="147"/>
      <c r="L7" s="3"/>
      <c r="M7" s="147" t="s">
        <v>7</v>
      </c>
      <c r="N7" s="147"/>
      <c r="O7" s="147"/>
    </row>
    <row r="8" spans="1:16" ht="17.25" thickBot="1" x14ac:dyDescent="0.35">
      <c r="B8" s="148"/>
      <c r="C8" s="150"/>
      <c r="D8" s="5"/>
      <c r="E8" s="4" t="s">
        <v>8</v>
      </c>
      <c r="F8" s="4" t="s">
        <v>9</v>
      </c>
      <c r="G8" s="4" t="s">
        <v>10</v>
      </c>
      <c r="H8" s="5"/>
      <c r="I8" s="4" t="s">
        <v>11</v>
      </c>
      <c r="J8" s="4" t="s">
        <v>12</v>
      </c>
      <c r="K8" s="4" t="s">
        <v>10</v>
      </c>
      <c r="L8" s="5"/>
      <c r="M8" s="4" t="s">
        <v>11</v>
      </c>
      <c r="N8" s="4" t="s">
        <v>12</v>
      </c>
      <c r="O8" s="4" t="s">
        <v>10</v>
      </c>
    </row>
    <row r="9" spans="1:16" ht="20.25" customHeight="1" x14ac:dyDescent="0.3">
      <c r="B9" s="55" t="s">
        <v>13</v>
      </c>
      <c r="C9" s="29">
        <v>168882.11251396072</v>
      </c>
      <c r="D9" s="29"/>
      <c r="E9" s="29">
        <v>27049.430999929995</v>
      </c>
      <c r="F9" s="29">
        <v>22217.499999929998</v>
      </c>
      <c r="G9" s="29">
        <v>4831.9310000000005</v>
      </c>
      <c r="H9" s="29"/>
      <c r="I9" s="29">
        <v>27824.185832214731</v>
      </c>
      <c r="J9" s="29">
        <v>4261.6930038202763</v>
      </c>
      <c r="K9" s="29">
        <v>23562.492828394461</v>
      </c>
      <c r="L9" s="29"/>
      <c r="M9" s="29">
        <v>114008.495681816</v>
      </c>
      <c r="N9" s="29">
        <v>2317.7390048444927</v>
      </c>
      <c r="O9" s="29">
        <v>111690.75667697152</v>
      </c>
    </row>
    <row r="10" spans="1:16" s="68" customFormat="1" ht="13.5" customHeight="1" x14ac:dyDescent="0.25">
      <c r="A10" s="79"/>
      <c r="B10" s="80" t="s">
        <v>82</v>
      </c>
      <c r="C10" s="65">
        <v>3352.4500040678631</v>
      </c>
      <c r="D10" s="65"/>
      <c r="E10" s="65">
        <v>855.02500000000032</v>
      </c>
      <c r="F10" s="65">
        <v>851.52500000000032</v>
      </c>
      <c r="G10" s="65">
        <v>3.5</v>
      </c>
      <c r="H10" s="65"/>
      <c r="I10" s="65">
        <v>754.27100542094865</v>
      </c>
      <c r="J10" s="33">
        <v>31.2730000307557</v>
      </c>
      <c r="K10" s="33">
        <v>722.99800539019293</v>
      </c>
      <c r="L10" s="35"/>
      <c r="M10" s="33">
        <v>1743.153998646914</v>
      </c>
      <c r="N10" s="33">
        <v>0</v>
      </c>
      <c r="O10" s="33">
        <v>1743.153998646914</v>
      </c>
      <c r="P10" s="56"/>
    </row>
    <row r="11" spans="1:16" s="68" customFormat="1" ht="13.5" customHeight="1" x14ac:dyDescent="0.25">
      <c r="A11" s="79"/>
      <c r="B11" s="80" t="s">
        <v>83</v>
      </c>
      <c r="C11" s="65">
        <v>10710.677951475342</v>
      </c>
      <c r="D11" s="65"/>
      <c r="E11" s="65">
        <v>1888.6769999999997</v>
      </c>
      <c r="F11" s="65">
        <v>1403.4499999999996</v>
      </c>
      <c r="G11" s="65">
        <v>485.22699999999998</v>
      </c>
      <c r="H11" s="65"/>
      <c r="I11" s="65">
        <v>1223.0469956508266</v>
      </c>
      <c r="J11" s="33">
        <v>526.661998130283</v>
      </c>
      <c r="K11" s="33">
        <v>696.38499752054361</v>
      </c>
      <c r="L11" s="35"/>
      <c r="M11" s="33">
        <v>7598.9539558245151</v>
      </c>
      <c r="N11" s="33">
        <v>109.56999989234099</v>
      </c>
      <c r="O11" s="33">
        <v>7489.3839559321741</v>
      </c>
      <c r="P11" s="56"/>
    </row>
    <row r="12" spans="1:16" s="68" customFormat="1" ht="13.5" customHeight="1" x14ac:dyDescent="0.25">
      <c r="A12" s="79"/>
      <c r="B12" s="80" t="s">
        <v>84</v>
      </c>
      <c r="C12" s="65">
        <v>7523.5057890052776</v>
      </c>
      <c r="D12" s="65"/>
      <c r="E12" s="65">
        <v>1284.73</v>
      </c>
      <c r="F12" s="65">
        <v>980.19600000000014</v>
      </c>
      <c r="G12" s="65">
        <v>304.53399999999999</v>
      </c>
      <c r="H12" s="65"/>
      <c r="I12" s="65">
        <v>1290.8300007338721</v>
      </c>
      <c r="J12" s="33">
        <v>9.0679999645805012</v>
      </c>
      <c r="K12" s="33">
        <v>1281.7620007692917</v>
      </c>
      <c r="L12" s="35"/>
      <c r="M12" s="33">
        <v>4947.945788271405</v>
      </c>
      <c r="N12" s="33">
        <v>6.1299998313237989</v>
      </c>
      <c r="O12" s="33">
        <v>4941.8157884400816</v>
      </c>
      <c r="P12" s="56"/>
    </row>
    <row r="13" spans="1:16" s="68" customFormat="1" ht="13.5" customHeight="1" x14ac:dyDescent="0.25">
      <c r="A13" s="79"/>
      <c r="B13" s="80" t="s">
        <v>85</v>
      </c>
      <c r="C13" s="65">
        <v>9382.027988970116</v>
      </c>
      <c r="D13" s="65"/>
      <c r="E13" s="65">
        <v>1494.0559999999989</v>
      </c>
      <c r="F13" s="65">
        <v>1215.5749999999989</v>
      </c>
      <c r="G13" s="65">
        <v>278.48100000000005</v>
      </c>
      <c r="H13" s="65"/>
      <c r="I13" s="65">
        <v>1739.5439986230165</v>
      </c>
      <c r="J13" s="33">
        <v>977.89100084724828</v>
      </c>
      <c r="K13" s="33">
        <v>761.6529977757682</v>
      </c>
      <c r="L13" s="35"/>
      <c r="M13" s="33">
        <v>6148.4279903470997</v>
      </c>
      <c r="N13" s="33">
        <v>434.28500057760363</v>
      </c>
      <c r="O13" s="33">
        <v>5714.1429897694961</v>
      </c>
      <c r="P13" s="56"/>
    </row>
    <row r="14" spans="1:16" s="68" customFormat="1" ht="13.5" customHeight="1" x14ac:dyDescent="0.25">
      <c r="A14" s="79"/>
      <c r="B14" s="80" t="s">
        <v>86</v>
      </c>
      <c r="C14" s="65">
        <v>12301.94499402383</v>
      </c>
      <c r="D14" s="65"/>
      <c r="E14" s="65">
        <v>1794.049</v>
      </c>
      <c r="F14" s="65">
        <v>1726.6880000000001</v>
      </c>
      <c r="G14" s="65">
        <v>67.36099999999999</v>
      </c>
      <c r="H14" s="65"/>
      <c r="I14" s="65">
        <v>1855.6820019212994</v>
      </c>
      <c r="J14" s="33">
        <v>297.77199802087279</v>
      </c>
      <c r="K14" s="33">
        <v>1557.9100039004265</v>
      </c>
      <c r="L14" s="35"/>
      <c r="M14" s="33">
        <v>8652.2139921025318</v>
      </c>
      <c r="N14" s="33">
        <v>34.332000035798046</v>
      </c>
      <c r="O14" s="33">
        <v>8617.8819920667338</v>
      </c>
      <c r="P14" s="56"/>
    </row>
    <row r="15" spans="1:16" s="68" customFormat="1" ht="13.5" customHeight="1" x14ac:dyDescent="0.25">
      <c r="A15" s="79"/>
      <c r="B15" s="80" t="s">
        <v>87</v>
      </c>
      <c r="C15" s="65">
        <v>14712.55911787512</v>
      </c>
      <c r="D15" s="65"/>
      <c r="E15" s="65">
        <v>1740.3639999299996</v>
      </c>
      <c r="F15" s="65">
        <v>1502.9279999299997</v>
      </c>
      <c r="G15" s="65">
        <v>237.43599999999998</v>
      </c>
      <c r="H15" s="65"/>
      <c r="I15" s="65">
        <v>888.77800131592153</v>
      </c>
      <c r="J15" s="33">
        <v>31.778999745846001</v>
      </c>
      <c r="K15" s="33">
        <v>856.99900157007551</v>
      </c>
      <c r="L15" s="35"/>
      <c r="M15" s="33">
        <v>12083.417116629198</v>
      </c>
      <c r="N15" s="33">
        <v>40.109999934208574</v>
      </c>
      <c r="O15" s="33">
        <v>12043.30711669499</v>
      </c>
      <c r="P15" s="56"/>
    </row>
    <row r="16" spans="1:16" s="68" customFormat="1" ht="13.5" customHeight="1" x14ac:dyDescent="0.25">
      <c r="A16" s="67"/>
      <c r="B16" s="80" t="s">
        <v>88</v>
      </c>
      <c r="C16" s="65">
        <v>52.063000138042007</v>
      </c>
      <c r="D16" s="65"/>
      <c r="E16" s="65">
        <v>45.164000000000009</v>
      </c>
      <c r="F16" s="65">
        <v>45.164000000000009</v>
      </c>
      <c r="G16" s="65">
        <v>0</v>
      </c>
      <c r="H16" s="65"/>
      <c r="I16" s="65">
        <v>6.8990001380420001</v>
      </c>
      <c r="J16" s="33">
        <v>5.1510001122920004</v>
      </c>
      <c r="K16" s="33">
        <v>1.7480000257499999</v>
      </c>
      <c r="L16" s="35"/>
      <c r="M16" s="33">
        <v>0</v>
      </c>
      <c r="N16" s="33">
        <v>0</v>
      </c>
      <c r="O16" s="33">
        <v>0</v>
      </c>
      <c r="P16" s="56"/>
    </row>
    <row r="17" spans="1:16" s="68" customFormat="1" ht="13.5" customHeight="1" x14ac:dyDescent="0.25">
      <c r="A17" s="79"/>
      <c r="B17" s="80" t="s">
        <v>89</v>
      </c>
      <c r="C17" s="65">
        <v>17505.356796232474</v>
      </c>
      <c r="D17" s="65"/>
      <c r="E17" s="65">
        <v>2032.8429999999996</v>
      </c>
      <c r="F17" s="65">
        <v>1623.4539999999995</v>
      </c>
      <c r="G17" s="65">
        <v>409.38900000000007</v>
      </c>
      <c r="H17" s="65"/>
      <c r="I17" s="65">
        <v>2802.7019913818208</v>
      </c>
      <c r="J17" s="33">
        <v>564.43299999742476</v>
      </c>
      <c r="K17" s="33">
        <v>2238.268991384396</v>
      </c>
      <c r="L17" s="35"/>
      <c r="M17" s="33">
        <v>12669.811804850653</v>
      </c>
      <c r="N17" s="33">
        <v>304.63800207349897</v>
      </c>
      <c r="O17" s="33">
        <v>12365.173802777153</v>
      </c>
      <c r="P17" s="56"/>
    </row>
    <row r="18" spans="1:16" s="68" customFormat="1" ht="13.5" customHeight="1" x14ac:dyDescent="0.25">
      <c r="A18" s="79"/>
      <c r="B18" s="80" t="s">
        <v>90</v>
      </c>
      <c r="C18" s="65">
        <v>8251.0957821922875</v>
      </c>
      <c r="D18" s="65"/>
      <c r="E18" s="65">
        <v>1446.2369999999999</v>
      </c>
      <c r="F18" s="65">
        <v>1191.2239999999999</v>
      </c>
      <c r="G18" s="65">
        <v>255.01300000000001</v>
      </c>
      <c r="H18" s="65"/>
      <c r="I18" s="65">
        <v>2002.2579977664318</v>
      </c>
      <c r="J18" s="33">
        <v>21.293999686835996</v>
      </c>
      <c r="K18" s="33">
        <v>1980.9639980795957</v>
      </c>
      <c r="L18" s="35"/>
      <c r="M18" s="33">
        <v>4802.6007844258556</v>
      </c>
      <c r="N18" s="33">
        <v>0.66000002622599996</v>
      </c>
      <c r="O18" s="33">
        <v>4801.9407843996296</v>
      </c>
      <c r="P18" s="56"/>
    </row>
    <row r="19" spans="1:16" s="68" customFormat="1" ht="13.5" customHeight="1" x14ac:dyDescent="0.25">
      <c r="A19" s="79"/>
      <c r="B19" s="80" t="s">
        <v>91</v>
      </c>
      <c r="C19" s="65">
        <v>7864.0099855410981</v>
      </c>
      <c r="D19" s="65"/>
      <c r="E19" s="65">
        <v>1315.6060000000002</v>
      </c>
      <c r="F19" s="65">
        <v>807.35600000000022</v>
      </c>
      <c r="G19" s="65">
        <v>508.25000000000011</v>
      </c>
      <c r="H19" s="65"/>
      <c r="I19" s="65">
        <v>772.43999722959381</v>
      </c>
      <c r="J19" s="33">
        <v>16.683999944470699</v>
      </c>
      <c r="K19" s="33">
        <v>755.75599728512316</v>
      </c>
      <c r="L19" s="35"/>
      <c r="M19" s="33">
        <v>5775.9639883115042</v>
      </c>
      <c r="N19" s="33">
        <v>81.235000183804999</v>
      </c>
      <c r="O19" s="33">
        <v>5694.7289881276993</v>
      </c>
      <c r="P19" s="56"/>
    </row>
    <row r="20" spans="1:16" s="68" customFormat="1" ht="13.5" customHeight="1" x14ac:dyDescent="0.25">
      <c r="A20" s="79"/>
      <c r="B20" s="80" t="s">
        <v>92</v>
      </c>
      <c r="C20" s="65">
        <v>3502.8029962561181</v>
      </c>
      <c r="D20" s="65"/>
      <c r="E20" s="65">
        <v>697.3</v>
      </c>
      <c r="F20" s="65">
        <v>683.25</v>
      </c>
      <c r="G20" s="65">
        <v>14.049999999999999</v>
      </c>
      <c r="H20" s="65"/>
      <c r="I20" s="65">
        <v>743.06299649173195</v>
      </c>
      <c r="J20" s="33">
        <v>48.940999388683004</v>
      </c>
      <c r="K20" s="33">
        <v>694.1219971030489</v>
      </c>
      <c r="L20" s="35"/>
      <c r="M20" s="33">
        <v>2062.4399997643864</v>
      </c>
      <c r="N20" s="33">
        <v>80.250000309226905</v>
      </c>
      <c r="O20" s="33">
        <v>1982.1899994551595</v>
      </c>
      <c r="P20" s="56"/>
    </row>
    <row r="21" spans="1:16" s="68" customFormat="1" ht="13.5" customHeight="1" x14ac:dyDescent="0.25">
      <c r="A21" s="79"/>
      <c r="B21" s="80" t="s">
        <v>93</v>
      </c>
      <c r="C21" s="65">
        <v>12012.755148026259</v>
      </c>
      <c r="D21" s="65"/>
      <c r="E21" s="65">
        <v>1780.37</v>
      </c>
      <c r="F21" s="65">
        <v>1054.4589999999998</v>
      </c>
      <c r="G21" s="65">
        <v>725.91099999999994</v>
      </c>
      <c r="H21" s="65"/>
      <c r="I21" s="65">
        <v>1125.1850039273729</v>
      </c>
      <c r="J21" s="33">
        <v>76.729000288985802</v>
      </c>
      <c r="K21" s="33">
        <v>1048.4560036383871</v>
      </c>
      <c r="L21" s="35"/>
      <c r="M21" s="33">
        <v>9107.2001440988861</v>
      </c>
      <c r="N21" s="33">
        <v>212.67599906018103</v>
      </c>
      <c r="O21" s="33">
        <v>8894.5241450387057</v>
      </c>
      <c r="P21" s="56"/>
    </row>
    <row r="22" spans="1:16" s="68" customFormat="1" ht="13.5" customHeight="1" x14ac:dyDescent="0.25">
      <c r="A22" s="79"/>
      <c r="B22" s="80" t="s">
        <v>94</v>
      </c>
      <c r="C22" s="65">
        <v>8809.4171508428553</v>
      </c>
      <c r="D22" s="65"/>
      <c r="E22" s="65">
        <v>1263.6079999999997</v>
      </c>
      <c r="F22" s="65">
        <v>922.93399999999974</v>
      </c>
      <c r="G22" s="65">
        <v>340.67399999999992</v>
      </c>
      <c r="H22" s="65"/>
      <c r="I22" s="65">
        <v>1941.1710019166974</v>
      </c>
      <c r="J22" s="33">
        <v>106.396999984964</v>
      </c>
      <c r="K22" s="33">
        <v>1834.7740019317334</v>
      </c>
      <c r="L22" s="35"/>
      <c r="M22" s="33">
        <v>5604.6381489261585</v>
      </c>
      <c r="N22" s="33">
        <v>155.84000098707298</v>
      </c>
      <c r="O22" s="33">
        <v>5448.7981479390855</v>
      </c>
      <c r="P22" s="56"/>
    </row>
    <row r="23" spans="1:16" s="68" customFormat="1" ht="13.5" customHeight="1" x14ac:dyDescent="0.25">
      <c r="A23" s="79"/>
      <c r="B23" s="80" t="s">
        <v>95</v>
      </c>
      <c r="C23" s="65">
        <v>3197.4969988252446</v>
      </c>
      <c r="D23" s="65"/>
      <c r="E23" s="65">
        <v>469.04900000000004</v>
      </c>
      <c r="F23" s="65">
        <v>450.82100000000003</v>
      </c>
      <c r="G23" s="65">
        <v>18.228000000000002</v>
      </c>
      <c r="H23" s="65"/>
      <c r="I23" s="65">
        <v>674.46300070731741</v>
      </c>
      <c r="J23" s="33">
        <v>208.61300143597418</v>
      </c>
      <c r="K23" s="33">
        <v>465.84999927134322</v>
      </c>
      <c r="L23" s="35"/>
      <c r="M23" s="33">
        <v>2053.9849981179273</v>
      </c>
      <c r="N23" s="33">
        <v>27.550000309939996</v>
      </c>
      <c r="O23" s="33">
        <v>2026.4349978079872</v>
      </c>
      <c r="P23" s="56"/>
    </row>
    <row r="24" spans="1:16" s="68" customFormat="1" ht="13.5" customHeight="1" x14ac:dyDescent="0.25">
      <c r="A24" s="79"/>
      <c r="B24" s="80" t="s">
        <v>96</v>
      </c>
      <c r="C24" s="65">
        <v>7536.7119232017594</v>
      </c>
      <c r="D24" s="65"/>
      <c r="E24" s="65">
        <v>1685.049</v>
      </c>
      <c r="F24" s="65">
        <v>1356.509</v>
      </c>
      <c r="G24" s="65">
        <v>328.54000000000008</v>
      </c>
      <c r="H24" s="65"/>
      <c r="I24" s="65">
        <v>1609.6720100295247</v>
      </c>
      <c r="J24" s="33">
        <v>160.41300186044811</v>
      </c>
      <c r="K24" s="33">
        <v>1449.2590081690767</v>
      </c>
      <c r="L24" s="35"/>
      <c r="M24" s="33">
        <v>4241.9909131722343</v>
      </c>
      <c r="N24" s="33">
        <v>153.82900078588298</v>
      </c>
      <c r="O24" s="33">
        <v>4088.1619123863511</v>
      </c>
      <c r="P24" s="56"/>
    </row>
    <row r="25" spans="1:16" s="68" customFormat="1" ht="13.5" customHeight="1" x14ac:dyDescent="0.25">
      <c r="A25" s="79"/>
      <c r="B25" s="80" t="s">
        <v>97</v>
      </c>
      <c r="C25" s="65">
        <v>893.55899984039411</v>
      </c>
      <c r="D25" s="65"/>
      <c r="E25" s="65">
        <v>128.87099999999998</v>
      </c>
      <c r="F25" s="65">
        <v>88.611999999999995</v>
      </c>
      <c r="G25" s="65">
        <v>40.259</v>
      </c>
      <c r="H25" s="65"/>
      <c r="I25" s="65">
        <v>320.74699778065502</v>
      </c>
      <c r="J25" s="33">
        <v>97.167001076066001</v>
      </c>
      <c r="K25" s="33">
        <v>223.57999670458901</v>
      </c>
      <c r="L25" s="35"/>
      <c r="M25" s="33">
        <v>443.94100205973911</v>
      </c>
      <c r="N25" s="33">
        <v>19.130000222480099</v>
      </c>
      <c r="O25" s="33">
        <v>424.81100183725903</v>
      </c>
      <c r="P25" s="56"/>
    </row>
    <row r="26" spans="1:16" s="68" customFormat="1" ht="13.5" customHeight="1" x14ac:dyDescent="0.25">
      <c r="A26" s="79"/>
      <c r="B26" s="80" t="s">
        <v>98</v>
      </c>
      <c r="C26" s="65">
        <v>2015.0389983015973</v>
      </c>
      <c r="D26" s="65"/>
      <c r="E26" s="65">
        <v>399.27599999999995</v>
      </c>
      <c r="F26" s="65">
        <v>399.27599999999995</v>
      </c>
      <c r="G26" s="65">
        <v>0</v>
      </c>
      <c r="H26" s="65"/>
      <c r="I26" s="65">
        <v>339.97899851575249</v>
      </c>
      <c r="J26" s="33">
        <v>2.3380000591279999</v>
      </c>
      <c r="K26" s="33">
        <v>337.64099845662452</v>
      </c>
      <c r="L26" s="35"/>
      <c r="M26" s="33">
        <v>1275.7839997858448</v>
      </c>
      <c r="N26" s="33">
        <v>6.4050000607950004</v>
      </c>
      <c r="O26" s="33">
        <v>1269.3789997250499</v>
      </c>
      <c r="P26" s="56"/>
    </row>
    <row r="27" spans="1:16" s="68" customFormat="1" ht="13.5" customHeight="1" x14ac:dyDescent="0.25">
      <c r="A27" s="79"/>
      <c r="B27" s="80" t="s">
        <v>99</v>
      </c>
      <c r="C27" s="65">
        <v>2642.9880038563469</v>
      </c>
      <c r="D27" s="65"/>
      <c r="E27" s="65">
        <v>470.25500000000011</v>
      </c>
      <c r="F27" s="65">
        <v>470.25500000000011</v>
      </c>
      <c r="G27" s="65">
        <v>0</v>
      </c>
      <c r="H27" s="65"/>
      <c r="I27" s="65">
        <v>906.90900000179533</v>
      </c>
      <c r="J27" s="33">
        <v>117.61200124778421</v>
      </c>
      <c r="K27" s="33">
        <v>789.29699875401116</v>
      </c>
      <c r="L27" s="35"/>
      <c r="M27" s="33">
        <v>1265.8240038545512</v>
      </c>
      <c r="N27" s="33">
        <v>100.52399924950812</v>
      </c>
      <c r="O27" s="33">
        <v>1165.3000046050431</v>
      </c>
      <c r="P27" s="56"/>
    </row>
    <row r="28" spans="1:16" s="68" customFormat="1" ht="13.5" customHeight="1" x14ac:dyDescent="0.25">
      <c r="A28" s="79"/>
      <c r="B28" s="80" t="s">
        <v>100</v>
      </c>
      <c r="C28" s="65">
        <v>3303.793717344608</v>
      </c>
      <c r="D28" s="65"/>
      <c r="E28" s="65">
        <v>588.79499999999996</v>
      </c>
      <c r="F28" s="65">
        <v>364.70899999999995</v>
      </c>
      <c r="G28" s="65">
        <v>224.08599999999998</v>
      </c>
      <c r="H28" s="65"/>
      <c r="I28" s="65">
        <v>791.42382915363396</v>
      </c>
      <c r="J28" s="33">
        <v>34.435000483895692</v>
      </c>
      <c r="K28" s="33">
        <v>756.98882866973827</v>
      </c>
      <c r="L28" s="35"/>
      <c r="M28" s="33">
        <v>1923.5748881909742</v>
      </c>
      <c r="N28" s="33">
        <v>0</v>
      </c>
      <c r="O28" s="33">
        <v>1923.5748881909742</v>
      </c>
      <c r="P28" s="56"/>
    </row>
    <row r="29" spans="1:16" s="68" customFormat="1" ht="13.5" customHeight="1" x14ac:dyDescent="0.25">
      <c r="A29" s="79"/>
      <c r="B29" s="80" t="s">
        <v>101</v>
      </c>
      <c r="C29" s="65">
        <v>8857.0937975390843</v>
      </c>
      <c r="D29" s="65"/>
      <c r="E29" s="65">
        <v>1732.9680000000008</v>
      </c>
      <c r="F29" s="65">
        <v>1581.7360000000008</v>
      </c>
      <c r="G29" s="65">
        <v>151.232</v>
      </c>
      <c r="H29" s="65"/>
      <c r="I29" s="65">
        <v>634.48800378502983</v>
      </c>
      <c r="J29" s="33">
        <v>168.90599995295489</v>
      </c>
      <c r="K29" s="33">
        <v>465.58200383207497</v>
      </c>
      <c r="L29" s="35"/>
      <c r="M29" s="33">
        <v>6489.6377937540547</v>
      </c>
      <c r="N29" s="33">
        <v>333.29000106083959</v>
      </c>
      <c r="O29" s="33">
        <v>6156.3477926932155</v>
      </c>
      <c r="P29" s="56"/>
    </row>
    <row r="30" spans="1:16" s="68" customFormat="1" ht="13.5" customHeight="1" x14ac:dyDescent="0.25">
      <c r="A30" s="79"/>
      <c r="B30" s="80" t="s">
        <v>102</v>
      </c>
      <c r="C30" s="65">
        <v>13203.255369987957</v>
      </c>
      <c r="D30" s="65"/>
      <c r="E30" s="65">
        <v>2018.9489999999996</v>
      </c>
      <c r="F30" s="65">
        <v>1804.0719999999997</v>
      </c>
      <c r="G30" s="65">
        <v>214.87700000000001</v>
      </c>
      <c r="H30" s="65"/>
      <c r="I30" s="65">
        <v>2369.0669947413553</v>
      </c>
      <c r="J30" s="33">
        <v>404.28299959562764</v>
      </c>
      <c r="K30" s="33">
        <v>1964.7839951457279</v>
      </c>
      <c r="L30" s="35"/>
      <c r="M30" s="33">
        <v>8815.2393752466014</v>
      </c>
      <c r="N30" s="33">
        <v>42.413000402513973</v>
      </c>
      <c r="O30" s="33">
        <v>8772.8263748440877</v>
      </c>
      <c r="P30" s="56"/>
    </row>
    <row r="31" spans="1:16" s="68" customFormat="1" ht="13.5" customHeight="1" x14ac:dyDescent="0.25">
      <c r="A31" s="79"/>
      <c r="B31" s="80" t="s">
        <v>103</v>
      </c>
      <c r="C31" s="65">
        <v>5232.4049974643076</v>
      </c>
      <c r="D31" s="65"/>
      <c r="E31" s="65">
        <v>822.55800000000011</v>
      </c>
      <c r="F31" s="65">
        <v>752.68200000000013</v>
      </c>
      <c r="G31" s="65">
        <v>69.876000000000005</v>
      </c>
      <c r="H31" s="65"/>
      <c r="I31" s="65">
        <v>965.54300210253177</v>
      </c>
      <c r="J31" s="33">
        <v>191.56699976332996</v>
      </c>
      <c r="K31" s="33">
        <v>773.97600233920184</v>
      </c>
      <c r="L31" s="35"/>
      <c r="M31" s="39">
        <v>3444.3039953617754</v>
      </c>
      <c r="N31" s="33">
        <v>9.0000003576300003E-2</v>
      </c>
      <c r="O31" s="33">
        <v>3444.2139953581991</v>
      </c>
      <c r="P31" s="56"/>
    </row>
    <row r="32" spans="1:16" s="68" customFormat="1" ht="13.5" customHeight="1" x14ac:dyDescent="0.25">
      <c r="A32" s="79"/>
      <c r="B32" s="80" t="s">
        <v>104</v>
      </c>
      <c r="C32" s="65">
        <v>2515.7190054726566</v>
      </c>
      <c r="D32" s="65"/>
      <c r="E32" s="65">
        <v>631.08299999999974</v>
      </c>
      <c r="F32" s="65">
        <v>580.08899999999971</v>
      </c>
      <c r="G32" s="65">
        <v>50.993999999999993</v>
      </c>
      <c r="H32" s="65"/>
      <c r="I32" s="65">
        <v>489.70400172482209</v>
      </c>
      <c r="J32" s="33">
        <v>85.003000736230007</v>
      </c>
      <c r="K32" s="33">
        <v>404.70100098859206</v>
      </c>
      <c r="L32" s="35"/>
      <c r="M32" s="39">
        <v>1394.9320037478346</v>
      </c>
      <c r="N32" s="33">
        <v>163.13200000679291</v>
      </c>
      <c r="O32" s="33">
        <v>1231.8000037410418</v>
      </c>
      <c r="P32" s="56"/>
    </row>
    <row r="33" spans="1:16" s="68" customFormat="1" ht="13.5" customHeight="1" x14ac:dyDescent="0.25">
      <c r="A33" s="79"/>
      <c r="B33" s="80" t="s">
        <v>105</v>
      </c>
      <c r="C33" s="65">
        <v>993.29499595839502</v>
      </c>
      <c r="D33" s="65"/>
      <c r="E33" s="65">
        <v>138.47400000000002</v>
      </c>
      <c r="F33" s="65">
        <v>138.47400000000002</v>
      </c>
      <c r="G33" s="65">
        <v>0</v>
      </c>
      <c r="H33" s="65"/>
      <c r="I33" s="65">
        <v>287.49799814828003</v>
      </c>
      <c r="J33" s="33">
        <v>71.736001461784994</v>
      </c>
      <c r="K33" s="33">
        <v>215.76199668649502</v>
      </c>
      <c r="L33" s="35"/>
      <c r="M33" s="39">
        <v>567.322997810115</v>
      </c>
      <c r="N33" s="33">
        <v>9.3299997933260013</v>
      </c>
      <c r="O33" s="33">
        <v>557.99299801678899</v>
      </c>
      <c r="P33" s="56"/>
    </row>
    <row r="34" spans="1:16" s="68" customFormat="1" ht="13.5" customHeight="1" thickBot="1" x14ac:dyDescent="0.3">
      <c r="A34" s="79"/>
      <c r="B34" s="81" t="s">
        <v>106</v>
      </c>
      <c r="C34" s="42">
        <v>2510.0890015217219</v>
      </c>
      <c r="D34" s="42"/>
      <c r="E34" s="42">
        <v>326.07499999999993</v>
      </c>
      <c r="F34" s="42">
        <v>222.06199999999993</v>
      </c>
      <c r="G34" s="42">
        <v>104.01299999999999</v>
      </c>
      <c r="H34" s="42"/>
      <c r="I34" s="42">
        <v>1288.8220030064599</v>
      </c>
      <c r="J34" s="42">
        <v>5.5460000038099997</v>
      </c>
      <c r="K34" s="42">
        <v>1283.27600300265</v>
      </c>
      <c r="L34" s="42"/>
      <c r="M34" s="42">
        <v>895.19199851526207</v>
      </c>
      <c r="N34" s="42">
        <v>2.3200000375520005</v>
      </c>
      <c r="O34" s="42">
        <v>892.87199847771012</v>
      </c>
      <c r="P34" s="73"/>
    </row>
    <row r="35" spans="1:16" s="85" customFormat="1" ht="39.75" customHeight="1" x14ac:dyDescent="0.25">
      <c r="B35" s="152" t="s">
        <v>60</v>
      </c>
      <c r="C35" s="152"/>
      <c r="D35" s="152"/>
      <c r="E35" s="152"/>
      <c r="F35" s="152"/>
      <c r="G35" s="152"/>
      <c r="H35" s="152"/>
      <c r="I35" s="152"/>
      <c r="J35" s="152"/>
      <c r="K35" s="152"/>
      <c r="L35" s="152"/>
      <c r="M35" s="152"/>
      <c r="N35" s="152"/>
      <c r="O35" s="152"/>
    </row>
    <row r="36" spans="1:16" s="85" customFormat="1" x14ac:dyDescent="0.25">
      <c r="B36" s="152" t="s">
        <v>80</v>
      </c>
      <c r="C36" s="152"/>
      <c r="D36" s="152"/>
      <c r="E36" s="152"/>
      <c r="F36" s="152"/>
      <c r="G36" s="152"/>
      <c r="H36" s="152"/>
      <c r="I36" s="152"/>
      <c r="J36" s="152"/>
      <c r="K36" s="152"/>
      <c r="L36" s="152"/>
      <c r="M36" s="152"/>
      <c r="N36" s="152"/>
      <c r="O36" s="152"/>
    </row>
    <row r="37" spans="1:16" s="85" customFormat="1" ht="16.5" customHeight="1" x14ac:dyDescent="0.25">
      <c r="B37" s="16" t="s">
        <v>109</v>
      </c>
      <c r="C37" s="90"/>
      <c r="D37" s="90"/>
      <c r="E37" s="90"/>
      <c r="F37" s="90"/>
      <c r="G37" s="90"/>
      <c r="H37" s="90"/>
      <c r="I37" s="90"/>
      <c r="J37" s="90"/>
      <c r="K37" s="90"/>
      <c r="L37" s="90"/>
      <c r="M37" s="90"/>
      <c r="N37" s="90"/>
    </row>
    <row r="38" spans="1:16" s="85" customFormat="1" x14ac:dyDescent="0.25">
      <c r="B38" s="16" t="s">
        <v>43</v>
      </c>
      <c r="C38" s="90"/>
      <c r="D38" s="90"/>
      <c r="E38" s="90"/>
      <c r="F38" s="90"/>
      <c r="G38" s="90"/>
      <c r="H38" s="90"/>
      <c r="I38" s="90"/>
      <c r="J38" s="90"/>
      <c r="K38" s="90"/>
      <c r="L38" s="90"/>
      <c r="M38" s="90"/>
      <c r="N38" s="90"/>
    </row>
    <row r="39" spans="1:16" s="85" customFormat="1" x14ac:dyDescent="0.25">
      <c r="B39" s="90"/>
      <c r="C39" s="90"/>
      <c r="D39" s="90"/>
      <c r="E39" s="90"/>
      <c r="F39" s="90"/>
      <c r="G39" s="90"/>
      <c r="H39" s="90"/>
      <c r="I39" s="90"/>
      <c r="J39" s="90"/>
      <c r="K39" s="90"/>
      <c r="L39" s="90"/>
      <c r="M39" s="90"/>
      <c r="N39" s="90"/>
    </row>
    <row r="40" spans="1:16" s="85" customFormat="1" ht="16.5" customHeight="1" x14ac:dyDescent="0.3">
      <c r="A40" s="1"/>
      <c r="B40" s="201" t="s">
        <v>218</v>
      </c>
      <c r="C40" s="201"/>
      <c r="D40" s="201"/>
      <c r="E40" s="201"/>
      <c r="F40" s="201"/>
      <c r="G40" s="201"/>
      <c r="H40" s="201"/>
      <c r="I40" s="201"/>
      <c r="J40" s="201"/>
      <c r="K40" s="201"/>
      <c r="L40" s="201"/>
      <c r="M40" s="201"/>
      <c r="N40" s="201"/>
      <c r="O40" s="201"/>
      <c r="P40" s="82"/>
    </row>
    <row r="41" spans="1:16" ht="16.5" customHeight="1" x14ac:dyDescent="0.3">
      <c r="A41" s="76"/>
      <c r="B41" s="200" t="s">
        <v>110</v>
      </c>
      <c r="C41" s="200"/>
      <c r="D41" s="200"/>
      <c r="E41" s="200"/>
      <c r="F41" s="200"/>
      <c r="G41" s="200"/>
      <c r="H41" s="200"/>
      <c r="I41" s="200"/>
      <c r="J41" s="200"/>
      <c r="K41" s="200"/>
      <c r="L41" s="200"/>
      <c r="M41" s="200"/>
      <c r="N41" s="200"/>
      <c r="O41" s="200"/>
      <c r="P41" s="87"/>
    </row>
    <row r="43" spans="1:16" ht="17.25" customHeight="1" thickBot="1" x14ac:dyDescent="0.35">
      <c r="A43" s="82"/>
      <c r="B43" s="44"/>
      <c r="C43" s="44"/>
      <c r="D43" s="44"/>
      <c r="E43" s="44"/>
      <c r="F43" s="44"/>
      <c r="G43" s="44"/>
      <c r="H43" s="78" t="s">
        <v>2</v>
      </c>
      <c r="I43" s="44"/>
      <c r="J43" s="44"/>
      <c r="K43" s="44"/>
      <c r="L43" s="44"/>
      <c r="M43" s="44"/>
      <c r="N43" s="44"/>
      <c r="O43" s="44"/>
    </row>
    <row r="44" spans="1:16" s="82" customFormat="1" ht="36" customHeight="1" x14ac:dyDescent="0.3">
      <c r="A44" s="88"/>
      <c r="B44" s="147" t="s">
        <v>3</v>
      </c>
      <c r="C44" s="163" t="s">
        <v>4</v>
      </c>
      <c r="D44" s="60"/>
      <c r="E44" s="193" t="s">
        <v>5</v>
      </c>
      <c r="F44" s="193"/>
      <c r="G44" s="193"/>
      <c r="H44" s="61"/>
      <c r="I44" s="147" t="s">
        <v>6</v>
      </c>
      <c r="J44" s="147"/>
      <c r="K44" s="147"/>
      <c r="L44" s="3"/>
      <c r="M44" s="147" t="s">
        <v>7</v>
      </c>
      <c r="N44" s="147"/>
      <c r="O44" s="147"/>
      <c r="P44" s="1"/>
    </row>
    <row r="45" spans="1:16" s="87" customFormat="1" ht="33" customHeight="1" thickBot="1" x14ac:dyDescent="0.35">
      <c r="A45" s="1"/>
      <c r="B45" s="148"/>
      <c r="C45" s="164"/>
      <c r="D45" s="62"/>
      <c r="E45" s="63" t="s">
        <v>8</v>
      </c>
      <c r="F45" s="63" t="s">
        <v>9</v>
      </c>
      <c r="G45" s="63" t="s">
        <v>10</v>
      </c>
      <c r="H45" s="62"/>
      <c r="I45" s="63" t="s">
        <v>11</v>
      </c>
      <c r="J45" s="63" t="s">
        <v>12</v>
      </c>
      <c r="K45" s="63" t="s">
        <v>10</v>
      </c>
      <c r="L45" s="62"/>
      <c r="M45" s="63" t="s">
        <v>11</v>
      </c>
      <c r="N45" s="63" t="s">
        <v>12</v>
      </c>
      <c r="O45" s="4" t="s">
        <v>10</v>
      </c>
      <c r="P45" s="1"/>
    </row>
    <row r="46" spans="1:16" x14ac:dyDescent="0.3">
      <c r="B46" s="55" t="s">
        <v>13</v>
      </c>
      <c r="C46" s="29">
        <v>168877.65551404841</v>
      </c>
      <c r="D46" s="29"/>
      <c r="E46" s="29">
        <v>27048.273999969995</v>
      </c>
      <c r="F46" s="29">
        <v>22384.497999969997</v>
      </c>
      <c r="G46" s="29">
        <v>4663.7760000000007</v>
      </c>
      <c r="H46" s="29"/>
      <c r="I46" s="29">
        <v>27824.185832214731</v>
      </c>
      <c r="J46" s="29">
        <v>4261.6930038202763</v>
      </c>
      <c r="K46" s="29">
        <v>23562.492828394461</v>
      </c>
      <c r="L46" s="29"/>
      <c r="M46" s="29">
        <v>114005.19568186368</v>
      </c>
      <c r="N46" s="29">
        <v>2317.7390048444927</v>
      </c>
      <c r="O46" s="8">
        <v>111687.4566770192</v>
      </c>
    </row>
    <row r="47" spans="1:16" ht="14.25" customHeight="1" x14ac:dyDescent="0.3">
      <c r="B47" s="80" t="s">
        <v>82</v>
      </c>
      <c r="C47" s="65">
        <v>3352.4500040678631</v>
      </c>
      <c r="D47" s="65"/>
      <c r="E47" s="65">
        <v>855.02500000000032</v>
      </c>
      <c r="F47" s="65">
        <v>851.52500000000032</v>
      </c>
      <c r="G47" s="65">
        <v>3.5</v>
      </c>
      <c r="H47" s="65"/>
      <c r="I47" s="65">
        <v>754.27100542094865</v>
      </c>
      <c r="J47" s="33">
        <v>31.2730000307557</v>
      </c>
      <c r="K47" s="33">
        <v>722.99800539019293</v>
      </c>
      <c r="L47" s="35"/>
      <c r="M47" s="33">
        <v>1743.153998646914</v>
      </c>
      <c r="N47" s="33">
        <v>0</v>
      </c>
      <c r="O47" s="68">
        <v>1743.153998646914</v>
      </c>
      <c r="P47" s="56"/>
    </row>
    <row r="48" spans="1:16" ht="14.25" customHeight="1" x14ac:dyDescent="0.3">
      <c r="B48" s="80" t="s">
        <v>83</v>
      </c>
      <c r="C48" s="65">
        <v>10710.395951475341</v>
      </c>
      <c r="D48" s="65"/>
      <c r="E48" s="65">
        <v>1888.395</v>
      </c>
      <c r="F48" s="65">
        <v>1418.7809999999997</v>
      </c>
      <c r="G48" s="65">
        <v>469.61400000000015</v>
      </c>
      <c r="H48" s="65"/>
      <c r="I48" s="65">
        <v>1223.0469956508266</v>
      </c>
      <c r="J48" s="33">
        <v>526.661998130283</v>
      </c>
      <c r="K48" s="33">
        <v>696.38499752054361</v>
      </c>
      <c r="L48" s="35"/>
      <c r="M48" s="33">
        <v>7598.9539558245151</v>
      </c>
      <c r="N48" s="33">
        <v>109.56999989234099</v>
      </c>
      <c r="O48" s="33">
        <v>7489.3839559321741</v>
      </c>
      <c r="P48" s="56"/>
    </row>
    <row r="49" spans="1:16" ht="14.25" customHeight="1" x14ac:dyDescent="0.3">
      <c r="B49" s="80" t="s">
        <v>84</v>
      </c>
      <c r="C49" s="65">
        <v>7522.738789005276</v>
      </c>
      <c r="D49" s="65"/>
      <c r="E49" s="65">
        <v>1283.9630000000002</v>
      </c>
      <c r="F49" s="65">
        <v>984.19600000000014</v>
      </c>
      <c r="G49" s="65">
        <v>299.767</v>
      </c>
      <c r="H49" s="65"/>
      <c r="I49" s="65">
        <v>1290.8300007338721</v>
      </c>
      <c r="J49" s="33">
        <v>9.0679999645805012</v>
      </c>
      <c r="K49" s="33">
        <v>1281.7620007692917</v>
      </c>
      <c r="L49" s="35"/>
      <c r="M49" s="33">
        <v>4947.9457882714041</v>
      </c>
      <c r="N49" s="33">
        <v>6.1299998313237989</v>
      </c>
      <c r="O49" s="33">
        <v>4941.8157884400807</v>
      </c>
      <c r="P49" s="56"/>
    </row>
    <row r="50" spans="1:16" ht="14.25" customHeight="1" x14ac:dyDescent="0.3">
      <c r="A50" s="79"/>
      <c r="B50" s="80" t="s">
        <v>85</v>
      </c>
      <c r="C50" s="65">
        <v>9382.027988970116</v>
      </c>
      <c r="D50" s="65"/>
      <c r="E50" s="65">
        <v>1494.0559999999989</v>
      </c>
      <c r="F50" s="65">
        <v>1215.5749999999989</v>
      </c>
      <c r="G50" s="65">
        <v>278.48100000000005</v>
      </c>
      <c r="H50" s="65"/>
      <c r="I50" s="65">
        <v>1739.5439986230165</v>
      </c>
      <c r="J50" s="33">
        <v>977.89100084724828</v>
      </c>
      <c r="K50" s="33">
        <v>761.6529977757682</v>
      </c>
      <c r="L50" s="35"/>
      <c r="M50" s="33">
        <v>6148.4279903470997</v>
      </c>
      <c r="N50" s="33">
        <v>434.28500057760363</v>
      </c>
      <c r="O50" s="33">
        <v>5714.1429897694961</v>
      </c>
      <c r="P50" s="56"/>
    </row>
    <row r="51" spans="1:16" ht="14.25" customHeight="1" x14ac:dyDescent="0.3">
      <c r="A51" s="79"/>
      <c r="B51" s="80" t="s">
        <v>86</v>
      </c>
      <c r="C51" s="65">
        <v>12301.94499402383</v>
      </c>
      <c r="D51" s="65"/>
      <c r="E51" s="65">
        <v>1794.049</v>
      </c>
      <c r="F51" s="65">
        <v>1726.6880000000001</v>
      </c>
      <c r="G51" s="65">
        <v>67.36099999999999</v>
      </c>
      <c r="H51" s="65"/>
      <c r="I51" s="65">
        <v>1855.6820019212994</v>
      </c>
      <c r="J51" s="33">
        <v>297.77199802087279</v>
      </c>
      <c r="K51" s="33">
        <v>1557.9100039004265</v>
      </c>
      <c r="L51" s="35"/>
      <c r="M51" s="33">
        <v>8652.2139921025318</v>
      </c>
      <c r="N51" s="33">
        <v>34.332000035798046</v>
      </c>
      <c r="O51" s="33">
        <v>8617.8819920667338</v>
      </c>
      <c r="P51" s="56"/>
    </row>
    <row r="52" spans="1:16" ht="14.25" customHeight="1" x14ac:dyDescent="0.3">
      <c r="A52" s="79"/>
      <c r="B52" s="80" t="s">
        <v>87</v>
      </c>
      <c r="C52" s="65">
        <v>14712.55911787512</v>
      </c>
      <c r="D52" s="65"/>
      <c r="E52" s="65">
        <v>1740.3639999299996</v>
      </c>
      <c r="F52" s="65">
        <v>1509.9319999299996</v>
      </c>
      <c r="G52" s="65">
        <v>230.43200000000002</v>
      </c>
      <c r="H52" s="65"/>
      <c r="I52" s="65">
        <v>888.77800131592153</v>
      </c>
      <c r="J52" s="33">
        <v>31.778999745846001</v>
      </c>
      <c r="K52" s="33">
        <v>856.99900157007551</v>
      </c>
      <c r="L52" s="35"/>
      <c r="M52" s="33">
        <v>12083.417116629198</v>
      </c>
      <c r="N52" s="33">
        <v>40.109999934208574</v>
      </c>
      <c r="O52" s="33">
        <v>12043.30711669499</v>
      </c>
      <c r="P52" s="56"/>
    </row>
    <row r="53" spans="1:16" ht="14.25" customHeight="1" x14ac:dyDescent="0.3">
      <c r="A53" s="79"/>
      <c r="B53" s="80" t="s">
        <v>88</v>
      </c>
      <c r="C53" s="65">
        <v>52.063000138042007</v>
      </c>
      <c r="D53" s="65"/>
      <c r="E53" s="65">
        <v>45.164000000000009</v>
      </c>
      <c r="F53" s="65">
        <v>45.164000000000009</v>
      </c>
      <c r="G53" s="65">
        <v>0</v>
      </c>
      <c r="H53" s="65"/>
      <c r="I53" s="65">
        <v>6.8990001380420001</v>
      </c>
      <c r="J53" s="33">
        <v>5.1510001122920004</v>
      </c>
      <c r="K53" s="33">
        <v>1.7480000257499999</v>
      </c>
      <c r="L53" s="35"/>
      <c r="M53" s="33">
        <v>0</v>
      </c>
      <c r="N53" s="33">
        <v>0</v>
      </c>
      <c r="O53" s="33">
        <v>0</v>
      </c>
      <c r="P53" s="56"/>
    </row>
    <row r="54" spans="1:16" ht="14.25" customHeight="1" x14ac:dyDescent="0.3">
      <c r="A54" s="79"/>
      <c r="B54" s="80" t="s">
        <v>89</v>
      </c>
      <c r="C54" s="65">
        <v>17505.356796232485</v>
      </c>
      <c r="D54" s="65"/>
      <c r="E54" s="65">
        <v>2032.8429999999994</v>
      </c>
      <c r="F54" s="65">
        <v>1623.4539999999995</v>
      </c>
      <c r="G54" s="65">
        <v>409.38900000000001</v>
      </c>
      <c r="H54" s="65"/>
      <c r="I54" s="65">
        <v>2802.7019913818208</v>
      </c>
      <c r="J54" s="33">
        <v>564.43299999742476</v>
      </c>
      <c r="K54" s="33">
        <v>2238.268991384396</v>
      </c>
      <c r="L54" s="35"/>
      <c r="M54" s="33">
        <v>12669.811804850664</v>
      </c>
      <c r="N54" s="33">
        <v>304.63800207349902</v>
      </c>
      <c r="O54" s="33">
        <v>12365.173802777164</v>
      </c>
      <c r="P54" s="56"/>
    </row>
    <row r="55" spans="1:16" ht="14.25" customHeight="1" x14ac:dyDescent="0.3">
      <c r="A55" s="79"/>
      <c r="B55" s="80" t="s">
        <v>90</v>
      </c>
      <c r="C55" s="65">
        <v>8247.7957822399676</v>
      </c>
      <c r="D55" s="65"/>
      <c r="E55" s="65">
        <v>1446.2370000000001</v>
      </c>
      <c r="F55" s="65">
        <v>1191.2240000000002</v>
      </c>
      <c r="G55" s="65">
        <v>255.01300000000001</v>
      </c>
      <c r="H55" s="65"/>
      <c r="I55" s="65">
        <v>2002.2579977664318</v>
      </c>
      <c r="J55" s="33">
        <v>21.293999686835996</v>
      </c>
      <c r="K55" s="33">
        <v>1980.9639980795957</v>
      </c>
      <c r="L55" s="35"/>
      <c r="M55" s="33">
        <v>4799.3007844735357</v>
      </c>
      <c r="N55" s="33">
        <v>0.66000002622599996</v>
      </c>
      <c r="O55" s="33">
        <v>4798.6407844473097</v>
      </c>
      <c r="P55" s="56"/>
    </row>
    <row r="56" spans="1:16" ht="14.25" customHeight="1" x14ac:dyDescent="0.3">
      <c r="A56" s="67"/>
      <c r="B56" s="80" t="s">
        <v>91</v>
      </c>
      <c r="C56" s="65">
        <v>7861.8769855410974</v>
      </c>
      <c r="D56" s="65"/>
      <c r="E56" s="65">
        <v>1313.473</v>
      </c>
      <c r="F56" s="65">
        <v>897.87200000000007</v>
      </c>
      <c r="G56" s="65">
        <v>415.601</v>
      </c>
      <c r="H56" s="65"/>
      <c r="I56" s="65">
        <v>772.43999722959381</v>
      </c>
      <c r="J56" s="33">
        <v>16.683999944470699</v>
      </c>
      <c r="K56" s="33">
        <v>755.75599728512316</v>
      </c>
      <c r="L56" s="35"/>
      <c r="M56" s="33">
        <v>5775.9639883115042</v>
      </c>
      <c r="N56" s="33">
        <v>81.235000183804999</v>
      </c>
      <c r="O56" s="33">
        <v>5694.7289881276993</v>
      </c>
      <c r="P56" s="56"/>
    </row>
    <row r="57" spans="1:16" ht="14.25" customHeight="1" x14ac:dyDescent="0.3">
      <c r="A57" s="79"/>
      <c r="B57" s="80" t="s">
        <v>92</v>
      </c>
      <c r="C57" s="65">
        <v>3502.8029962561181</v>
      </c>
      <c r="D57" s="65"/>
      <c r="E57" s="65">
        <v>697.3</v>
      </c>
      <c r="F57" s="65">
        <v>683.25</v>
      </c>
      <c r="G57" s="65">
        <v>14.049999999999999</v>
      </c>
      <c r="H57" s="65"/>
      <c r="I57" s="65">
        <v>743.06299649173195</v>
      </c>
      <c r="J57" s="33">
        <v>48.940999388683004</v>
      </c>
      <c r="K57" s="33">
        <v>694.1219971030489</v>
      </c>
      <c r="L57" s="35"/>
      <c r="M57" s="33">
        <v>2062.4399997643864</v>
      </c>
      <c r="N57" s="33">
        <v>80.250000309226905</v>
      </c>
      <c r="O57" s="33">
        <v>1982.1899994551595</v>
      </c>
      <c r="P57" s="56"/>
    </row>
    <row r="58" spans="1:16" ht="14.25" customHeight="1" x14ac:dyDescent="0.3">
      <c r="A58" s="79"/>
      <c r="B58" s="80" t="s">
        <v>93</v>
      </c>
      <c r="C58" s="65">
        <v>12013.17114802626</v>
      </c>
      <c r="D58" s="65"/>
      <c r="E58" s="65">
        <v>1780.7860000000001</v>
      </c>
      <c r="F58" s="65">
        <v>1061.444</v>
      </c>
      <c r="G58" s="65">
        <v>719.3420000000001</v>
      </c>
      <c r="H58" s="65"/>
      <c r="I58" s="65">
        <v>1125.1850039273729</v>
      </c>
      <c r="J58" s="33">
        <v>76.729000288985802</v>
      </c>
      <c r="K58" s="33">
        <v>1048.4560036383871</v>
      </c>
      <c r="L58" s="35"/>
      <c r="M58" s="33">
        <v>9107.2001440988861</v>
      </c>
      <c r="N58" s="33">
        <v>212.67599906018103</v>
      </c>
      <c r="O58" s="33">
        <v>8894.5241450387057</v>
      </c>
      <c r="P58" s="56"/>
    </row>
    <row r="59" spans="1:16" ht="14.25" customHeight="1" x14ac:dyDescent="0.3">
      <c r="A59" s="79"/>
      <c r="B59" s="80" t="s">
        <v>94</v>
      </c>
      <c r="C59" s="65">
        <v>8809.4171508428553</v>
      </c>
      <c r="D59" s="65"/>
      <c r="E59" s="65">
        <v>1263.6079999999997</v>
      </c>
      <c r="F59" s="65">
        <v>922.93399999999986</v>
      </c>
      <c r="G59" s="65">
        <v>340.67399999999992</v>
      </c>
      <c r="H59" s="65"/>
      <c r="I59" s="65">
        <v>1941.1710019166974</v>
      </c>
      <c r="J59" s="33">
        <v>106.396999984964</v>
      </c>
      <c r="K59" s="33">
        <v>1834.7740019317334</v>
      </c>
      <c r="L59" s="35"/>
      <c r="M59" s="33">
        <v>5604.6381489261585</v>
      </c>
      <c r="N59" s="33">
        <v>155.84000098707298</v>
      </c>
      <c r="O59" s="33">
        <v>5448.7981479390855</v>
      </c>
      <c r="P59" s="56"/>
    </row>
    <row r="60" spans="1:16" ht="14.25" customHeight="1" x14ac:dyDescent="0.3">
      <c r="A60" s="79"/>
      <c r="B60" s="80" t="s">
        <v>95</v>
      </c>
      <c r="C60" s="65">
        <v>3197.4969988252446</v>
      </c>
      <c r="D60" s="65"/>
      <c r="E60" s="65">
        <v>469.04900000000004</v>
      </c>
      <c r="F60" s="65">
        <v>450.82100000000003</v>
      </c>
      <c r="G60" s="65">
        <v>18.228000000000002</v>
      </c>
      <c r="H60" s="65"/>
      <c r="I60" s="65">
        <v>674.46300070731741</v>
      </c>
      <c r="J60" s="33">
        <v>208.61300143597418</v>
      </c>
      <c r="K60" s="33">
        <v>465.84999927134322</v>
      </c>
      <c r="L60" s="35"/>
      <c r="M60" s="33">
        <v>2053.9849981179273</v>
      </c>
      <c r="N60" s="33">
        <v>27.550000309939996</v>
      </c>
      <c r="O60" s="33">
        <v>2026.4349978079872</v>
      </c>
      <c r="P60" s="56"/>
    </row>
    <row r="61" spans="1:16" ht="14.25" customHeight="1" x14ac:dyDescent="0.3">
      <c r="A61" s="79"/>
      <c r="B61" s="80" t="s">
        <v>96</v>
      </c>
      <c r="C61" s="65">
        <v>7536.7119232017594</v>
      </c>
      <c r="D61" s="65"/>
      <c r="E61" s="65">
        <v>1685.049</v>
      </c>
      <c r="F61" s="65">
        <v>1356.509</v>
      </c>
      <c r="G61" s="65">
        <v>328.54000000000008</v>
      </c>
      <c r="H61" s="65"/>
      <c r="I61" s="65">
        <v>1609.6720100295247</v>
      </c>
      <c r="J61" s="33">
        <v>160.41300186044811</v>
      </c>
      <c r="K61" s="33">
        <v>1449.2590081690767</v>
      </c>
      <c r="L61" s="35"/>
      <c r="M61" s="33">
        <v>4241.9909131722343</v>
      </c>
      <c r="N61" s="33">
        <v>153.82900078588298</v>
      </c>
      <c r="O61" s="33">
        <v>4088.1619123863511</v>
      </c>
      <c r="P61" s="56"/>
    </row>
    <row r="62" spans="1:16" ht="14.25" customHeight="1" x14ac:dyDescent="0.3">
      <c r="A62" s="79"/>
      <c r="B62" s="80" t="s">
        <v>97</v>
      </c>
      <c r="C62" s="65">
        <v>893.55899984039411</v>
      </c>
      <c r="D62" s="65"/>
      <c r="E62" s="65">
        <v>128.87099999999998</v>
      </c>
      <c r="F62" s="65">
        <v>88.611999999999995</v>
      </c>
      <c r="G62" s="65">
        <v>40.259</v>
      </c>
      <c r="H62" s="65"/>
      <c r="I62" s="65">
        <v>320.74699778065502</v>
      </c>
      <c r="J62" s="33">
        <v>97.167001076066001</v>
      </c>
      <c r="K62" s="33">
        <v>223.57999670458901</v>
      </c>
      <c r="L62" s="35"/>
      <c r="M62" s="33">
        <v>443.94100205973911</v>
      </c>
      <c r="N62" s="33">
        <v>19.130000222480099</v>
      </c>
      <c r="O62" s="33">
        <v>424.81100183725903</v>
      </c>
      <c r="P62" s="56"/>
    </row>
    <row r="63" spans="1:16" ht="14.25" customHeight="1" x14ac:dyDescent="0.3">
      <c r="A63" s="79"/>
      <c r="B63" s="80" t="s">
        <v>98</v>
      </c>
      <c r="C63" s="65">
        <v>2015.0389983015973</v>
      </c>
      <c r="D63" s="65"/>
      <c r="E63" s="65">
        <v>399.27599999999995</v>
      </c>
      <c r="F63" s="65">
        <v>399.27599999999995</v>
      </c>
      <c r="G63" s="65">
        <v>0</v>
      </c>
      <c r="H63" s="65"/>
      <c r="I63" s="65">
        <v>339.97899851575249</v>
      </c>
      <c r="J63" s="33">
        <v>2.3380000591279999</v>
      </c>
      <c r="K63" s="33">
        <v>337.64099845662452</v>
      </c>
      <c r="L63" s="35"/>
      <c r="M63" s="33">
        <v>1275.7839997858448</v>
      </c>
      <c r="N63" s="33">
        <v>6.4050000607950004</v>
      </c>
      <c r="O63" s="33">
        <v>1269.3789997250499</v>
      </c>
      <c r="P63" s="56"/>
    </row>
    <row r="64" spans="1:16" ht="14.25" customHeight="1" x14ac:dyDescent="0.3">
      <c r="A64" s="79"/>
      <c r="B64" s="80" t="s">
        <v>99</v>
      </c>
      <c r="C64" s="65">
        <v>2642.9880038563469</v>
      </c>
      <c r="D64" s="65"/>
      <c r="E64" s="65">
        <v>470.25500000000011</v>
      </c>
      <c r="F64" s="65">
        <v>470.25500000000011</v>
      </c>
      <c r="G64" s="65">
        <v>0</v>
      </c>
      <c r="H64" s="65"/>
      <c r="I64" s="65">
        <v>906.90900000179533</v>
      </c>
      <c r="J64" s="33">
        <v>117.61200124778421</v>
      </c>
      <c r="K64" s="33">
        <v>789.29699875401116</v>
      </c>
      <c r="L64" s="35"/>
      <c r="M64" s="33">
        <v>1265.8240038545512</v>
      </c>
      <c r="N64" s="33">
        <v>100.52399924950812</v>
      </c>
      <c r="O64" s="33">
        <v>1165.3000046050431</v>
      </c>
      <c r="P64" s="56"/>
    </row>
    <row r="65" spans="1:16" ht="14.25" customHeight="1" x14ac:dyDescent="0.3">
      <c r="A65" s="79"/>
      <c r="B65" s="80" t="s">
        <v>100</v>
      </c>
      <c r="C65" s="65">
        <v>3303.293717344608</v>
      </c>
      <c r="D65" s="65"/>
      <c r="E65" s="65">
        <v>588.29499999999985</v>
      </c>
      <c r="F65" s="65">
        <v>367.14199999999988</v>
      </c>
      <c r="G65" s="65">
        <v>221.15299999999996</v>
      </c>
      <c r="H65" s="65"/>
      <c r="I65" s="65">
        <v>791.42382915363396</v>
      </c>
      <c r="J65" s="33">
        <v>34.435000483895692</v>
      </c>
      <c r="K65" s="33">
        <v>756.98882866973827</v>
      </c>
      <c r="L65" s="35"/>
      <c r="M65" s="33">
        <v>1923.5748881909742</v>
      </c>
      <c r="N65" s="33">
        <v>0</v>
      </c>
      <c r="O65" s="33">
        <v>1923.5748881909742</v>
      </c>
      <c r="P65" s="56"/>
    </row>
    <row r="66" spans="1:16" ht="14.25" customHeight="1" x14ac:dyDescent="0.3">
      <c r="A66" s="79"/>
      <c r="B66" s="80" t="s">
        <v>101</v>
      </c>
      <c r="C66" s="65">
        <v>8857.0937975790857</v>
      </c>
      <c r="D66" s="65"/>
      <c r="E66" s="65">
        <v>1732.9680000400008</v>
      </c>
      <c r="F66" s="65">
        <v>1604.9660000400008</v>
      </c>
      <c r="G66" s="65">
        <v>128.00200000000001</v>
      </c>
      <c r="H66" s="65"/>
      <c r="I66" s="65">
        <v>634.48800378502983</v>
      </c>
      <c r="J66" s="33">
        <v>168.90599995295489</v>
      </c>
      <c r="K66" s="33">
        <v>465.58200383207497</v>
      </c>
      <c r="L66" s="35"/>
      <c r="M66" s="33">
        <v>6489.6377937540547</v>
      </c>
      <c r="N66" s="33">
        <v>333.29000106083959</v>
      </c>
      <c r="O66" s="33">
        <v>6156.3477926932155</v>
      </c>
      <c r="P66" s="56"/>
    </row>
    <row r="67" spans="1:16" ht="14.25" customHeight="1" x14ac:dyDescent="0.3">
      <c r="A67" s="79"/>
      <c r="B67" s="80" t="s">
        <v>102</v>
      </c>
      <c r="C67" s="65">
        <v>13203.255369987955</v>
      </c>
      <c r="D67" s="65"/>
      <c r="E67" s="65">
        <v>2018.9489999999992</v>
      </c>
      <c r="F67" s="65">
        <v>1804.0719999999992</v>
      </c>
      <c r="G67" s="65">
        <v>214.87700000000001</v>
      </c>
      <c r="H67" s="65"/>
      <c r="I67" s="65">
        <v>2369.0669947413553</v>
      </c>
      <c r="J67" s="33">
        <v>404.28299959562764</v>
      </c>
      <c r="K67" s="33">
        <v>1964.7839951457279</v>
      </c>
      <c r="L67" s="35"/>
      <c r="M67" s="33">
        <v>8815.2393752466014</v>
      </c>
      <c r="N67" s="33">
        <v>42.413000402513973</v>
      </c>
      <c r="O67" s="33">
        <v>8772.8263748440877</v>
      </c>
      <c r="P67" s="56"/>
    </row>
    <row r="68" spans="1:16" ht="14.25" customHeight="1" x14ac:dyDescent="0.3">
      <c r="A68" s="79"/>
      <c r="B68" s="80" t="s">
        <v>103</v>
      </c>
      <c r="C68" s="65">
        <v>5234.5139974643071</v>
      </c>
      <c r="D68" s="65"/>
      <c r="E68" s="65">
        <v>824.66700000000014</v>
      </c>
      <c r="F68" s="65">
        <v>770.18100000000015</v>
      </c>
      <c r="G68" s="65">
        <v>54.48599999999999</v>
      </c>
      <c r="H68" s="65"/>
      <c r="I68" s="65">
        <v>965.54300210253177</v>
      </c>
      <c r="J68" s="33">
        <v>191.56699976332996</v>
      </c>
      <c r="K68" s="33">
        <v>773.97600233920184</v>
      </c>
      <c r="L68" s="35"/>
      <c r="M68" s="39">
        <v>3444.3039953617754</v>
      </c>
      <c r="N68" s="33">
        <v>9.0000003576300003E-2</v>
      </c>
      <c r="O68" s="33">
        <v>3444.2139953581991</v>
      </c>
      <c r="P68" s="56"/>
    </row>
    <row r="69" spans="1:16" ht="14.25" customHeight="1" x14ac:dyDescent="0.3">
      <c r="A69" s="79"/>
      <c r="B69" s="80" t="s">
        <v>104</v>
      </c>
      <c r="C69" s="65">
        <v>2515.7190054726566</v>
      </c>
      <c r="D69" s="65"/>
      <c r="E69" s="65">
        <v>631.08299999999986</v>
      </c>
      <c r="F69" s="65">
        <v>580.08899999999983</v>
      </c>
      <c r="G69" s="65">
        <v>50.993999999999993</v>
      </c>
      <c r="H69" s="65"/>
      <c r="I69" s="65">
        <v>489.70400172482209</v>
      </c>
      <c r="J69" s="33">
        <v>85.003000736230007</v>
      </c>
      <c r="K69" s="33">
        <v>404.70100098859206</v>
      </c>
      <c r="L69" s="35"/>
      <c r="M69" s="39">
        <v>1394.9320037478346</v>
      </c>
      <c r="N69" s="33">
        <v>163.13200000679291</v>
      </c>
      <c r="O69" s="33">
        <v>1231.8000037410418</v>
      </c>
      <c r="P69" s="56"/>
    </row>
    <row r="70" spans="1:16" ht="14.25" customHeight="1" x14ac:dyDescent="0.3">
      <c r="A70" s="79"/>
      <c r="B70" s="80" t="s">
        <v>105</v>
      </c>
      <c r="C70" s="65">
        <v>993.29499595839502</v>
      </c>
      <c r="D70" s="65"/>
      <c r="E70" s="65">
        <v>138.47400000000002</v>
      </c>
      <c r="F70" s="65">
        <v>138.47400000000002</v>
      </c>
      <c r="G70" s="65">
        <v>0</v>
      </c>
      <c r="H70" s="65"/>
      <c r="I70" s="65">
        <v>287.49799814828003</v>
      </c>
      <c r="J70" s="33">
        <v>71.736001461784994</v>
      </c>
      <c r="K70" s="33">
        <v>215.76199668649502</v>
      </c>
      <c r="L70" s="35"/>
      <c r="M70" s="39">
        <v>567.322997810115</v>
      </c>
      <c r="N70" s="33">
        <v>9.3299997933260013</v>
      </c>
      <c r="O70" s="33">
        <v>557.99299801678899</v>
      </c>
      <c r="P70" s="56"/>
    </row>
    <row r="71" spans="1:16" ht="14.25" customHeight="1" thickBot="1" x14ac:dyDescent="0.35">
      <c r="A71" s="79"/>
      <c r="B71" s="81" t="s">
        <v>106</v>
      </c>
      <c r="C71" s="42">
        <v>2510.0890015217219</v>
      </c>
      <c r="D71" s="42"/>
      <c r="E71" s="42">
        <v>326.07499999999993</v>
      </c>
      <c r="F71" s="42">
        <v>222.06199999999993</v>
      </c>
      <c r="G71" s="42">
        <v>104.01299999999999</v>
      </c>
      <c r="H71" s="42"/>
      <c r="I71" s="42">
        <v>1288.8220030064599</v>
      </c>
      <c r="J71" s="42">
        <v>5.5460000038099997</v>
      </c>
      <c r="K71" s="42">
        <v>1283.27600300265</v>
      </c>
      <c r="L71" s="42"/>
      <c r="M71" s="42">
        <v>895.19199851526207</v>
      </c>
      <c r="N71" s="42">
        <v>2.3200000375520005</v>
      </c>
      <c r="O71" s="42">
        <v>892.87199847771012</v>
      </c>
      <c r="P71" s="56"/>
    </row>
    <row r="72" spans="1:16" s="44" customFormat="1" ht="39" customHeight="1" x14ac:dyDescent="0.25">
      <c r="A72" s="79"/>
      <c r="B72" s="152" t="s">
        <v>60</v>
      </c>
      <c r="C72" s="152"/>
      <c r="D72" s="152"/>
      <c r="E72" s="152"/>
      <c r="F72" s="152"/>
      <c r="G72" s="152"/>
      <c r="H72" s="152"/>
      <c r="I72" s="152"/>
      <c r="J72" s="152"/>
      <c r="K72" s="152"/>
      <c r="L72" s="152"/>
      <c r="M72" s="152"/>
      <c r="N72" s="152"/>
      <c r="O72" s="152"/>
      <c r="P72" s="56"/>
    </row>
    <row r="73" spans="1:16" s="44" customFormat="1" ht="13.5" x14ac:dyDescent="0.25">
      <c r="A73" s="79"/>
      <c r="B73" s="155" t="s">
        <v>80</v>
      </c>
      <c r="C73" s="155"/>
      <c r="D73" s="155"/>
      <c r="E73" s="155"/>
      <c r="F73" s="155"/>
      <c r="G73" s="155"/>
      <c r="H73" s="155"/>
      <c r="I73" s="155"/>
      <c r="J73" s="155"/>
      <c r="K73" s="155"/>
      <c r="L73" s="155"/>
      <c r="M73" s="155"/>
      <c r="N73" s="155"/>
      <c r="O73" s="155"/>
      <c r="P73" s="56"/>
    </row>
    <row r="74" spans="1:16" s="44" customFormat="1" ht="13.5" customHeight="1" x14ac:dyDescent="0.25">
      <c r="B74" s="16" t="s">
        <v>111</v>
      </c>
      <c r="C74" s="90"/>
      <c r="D74" s="90"/>
      <c r="E74" s="90"/>
      <c r="F74" s="90"/>
      <c r="G74" s="90"/>
      <c r="H74" s="90"/>
      <c r="I74" s="90"/>
      <c r="J74" s="90"/>
      <c r="K74" s="90"/>
      <c r="L74" s="90"/>
      <c r="M74" s="90"/>
      <c r="N74" s="90"/>
      <c r="O74" s="90"/>
      <c r="P74" s="90"/>
    </row>
    <row r="75" spans="1:16" s="44" customFormat="1" ht="13.5" x14ac:dyDescent="0.25">
      <c r="A75" s="90"/>
      <c r="B75" s="16" t="s">
        <v>43</v>
      </c>
      <c r="C75" s="90"/>
      <c r="D75" s="90"/>
      <c r="E75" s="90"/>
      <c r="F75" s="90"/>
      <c r="G75" s="90"/>
      <c r="H75" s="90"/>
      <c r="I75" s="90"/>
      <c r="J75" s="90"/>
      <c r="K75" s="90"/>
      <c r="L75" s="90"/>
      <c r="M75" s="90"/>
      <c r="N75" s="90"/>
      <c r="O75" s="90"/>
      <c r="P75" s="90"/>
    </row>
    <row r="76" spans="1:16" x14ac:dyDescent="0.3">
      <c r="A76" s="85"/>
    </row>
    <row r="77" spans="1:16" x14ac:dyDescent="0.3">
      <c r="A77" s="85"/>
    </row>
    <row r="78" spans="1:16" x14ac:dyDescent="0.3">
      <c r="A78" s="85"/>
    </row>
  </sheetData>
  <mergeCells count="19">
    <mergeCell ref="B73:O73"/>
    <mergeCell ref="B72:O72"/>
    <mergeCell ref="B44:B45"/>
    <mergeCell ref="C44:C45"/>
    <mergeCell ref="E44:G44"/>
    <mergeCell ref="I44:K44"/>
    <mergeCell ref="M44:O44"/>
    <mergeCell ref="B6:O6"/>
    <mergeCell ref="B3:O3"/>
    <mergeCell ref="B4:O4"/>
    <mergeCell ref="B41:O41"/>
    <mergeCell ref="B35:O35"/>
    <mergeCell ref="B36:O36"/>
    <mergeCell ref="B40:O40"/>
    <mergeCell ref="B7:B8"/>
    <mergeCell ref="C7:C8"/>
    <mergeCell ref="E7:G7"/>
    <mergeCell ref="I7:K7"/>
    <mergeCell ref="M7:O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75"/>
  <sheetViews>
    <sheetView topLeftCell="A40" zoomScale="80" zoomScaleNormal="80" zoomScalePageLayoutView="85" workbookViewId="0">
      <selection activeCell="T53" sqref="T53"/>
    </sheetView>
  </sheetViews>
  <sheetFormatPr baseColWidth="10" defaultColWidth="11.42578125" defaultRowHeight="16.5" x14ac:dyDescent="0.3"/>
  <cols>
    <col min="1" max="1" width="7.140625" style="1" customWidth="1"/>
    <col min="2" max="2" width="14.85546875" style="1" customWidth="1"/>
    <col min="3" max="3" width="13.42578125" style="1" customWidth="1"/>
    <col min="4" max="4" width="4.28515625" style="1" customWidth="1"/>
    <col min="5" max="5" width="12.140625" style="1" customWidth="1"/>
    <col min="6" max="6" width="15.42578125" style="1" customWidth="1"/>
    <col min="7" max="7" width="19.7109375" style="1" customWidth="1"/>
    <col min="8" max="8" width="5.28515625" style="1" customWidth="1"/>
    <col min="9" max="9" width="11.42578125" style="1"/>
    <col min="10" max="10" width="13.85546875" style="1" customWidth="1"/>
    <col min="11" max="11" width="18.42578125" style="1" customWidth="1"/>
    <col min="12" max="12" width="5.7109375" style="1" customWidth="1"/>
    <col min="13" max="13" width="14" style="1" customWidth="1"/>
    <col min="14" max="14" width="16" style="1" customWidth="1"/>
    <col min="15" max="15" width="19" style="1" customWidth="1"/>
    <col min="16" max="16" width="7.42578125" style="1" customWidth="1"/>
    <col min="17" max="16384" width="11.42578125" style="1"/>
  </cols>
  <sheetData>
    <row r="1" spans="1:16" s="76" customFormat="1" x14ac:dyDescent="0.3"/>
    <row r="3" spans="1:16" s="82" customFormat="1" ht="15.75" x14ac:dyDescent="0.25">
      <c r="B3" s="145" t="s">
        <v>136</v>
      </c>
      <c r="C3" s="145"/>
      <c r="D3" s="145"/>
      <c r="E3" s="145"/>
      <c r="F3" s="145"/>
      <c r="G3" s="145"/>
      <c r="H3" s="145"/>
      <c r="I3" s="145"/>
      <c r="J3" s="145"/>
      <c r="K3" s="145"/>
      <c r="L3" s="145"/>
      <c r="M3" s="145"/>
      <c r="N3" s="145"/>
      <c r="O3" s="145"/>
    </row>
    <row r="4" spans="1:16" ht="16.5" customHeight="1" x14ac:dyDescent="0.3">
      <c r="B4" s="146" t="s">
        <v>112</v>
      </c>
      <c r="C4" s="146"/>
      <c r="D4" s="146"/>
      <c r="E4" s="146"/>
      <c r="F4" s="146"/>
      <c r="G4" s="146"/>
      <c r="H4" s="146"/>
      <c r="I4" s="146"/>
      <c r="J4" s="146"/>
      <c r="K4" s="146"/>
      <c r="L4" s="146"/>
      <c r="M4" s="146"/>
      <c r="N4" s="146"/>
      <c r="O4" s="146"/>
      <c r="P4" s="91"/>
    </row>
    <row r="5" spans="1:16" x14ac:dyDescent="0.3">
      <c r="O5" s="59"/>
    </row>
    <row r="6" spans="1:16" ht="17.25" customHeight="1" thickBot="1" x14ac:dyDescent="0.35">
      <c r="B6" s="144" t="s">
        <v>2</v>
      </c>
      <c r="C6" s="144"/>
      <c r="D6" s="144"/>
      <c r="E6" s="144"/>
      <c r="F6" s="144"/>
      <c r="G6" s="144"/>
      <c r="H6" s="144"/>
      <c r="I6" s="144"/>
      <c r="J6" s="144"/>
      <c r="K6" s="144"/>
      <c r="L6" s="144"/>
      <c r="M6" s="144"/>
      <c r="N6" s="144"/>
      <c r="O6" s="144"/>
    </row>
    <row r="7" spans="1:16" ht="21.75" customHeight="1" x14ac:dyDescent="0.3">
      <c r="B7" s="147" t="s">
        <v>3</v>
      </c>
      <c r="C7" s="149" t="s">
        <v>4</v>
      </c>
      <c r="D7" s="54"/>
      <c r="E7" s="151" t="s">
        <v>5</v>
      </c>
      <c r="F7" s="151"/>
      <c r="G7" s="151"/>
      <c r="H7" s="3"/>
      <c r="I7" s="147" t="s">
        <v>6</v>
      </c>
      <c r="J7" s="147"/>
      <c r="K7" s="147"/>
      <c r="L7" s="3"/>
      <c r="M7" s="147" t="s">
        <v>7</v>
      </c>
      <c r="N7" s="147"/>
      <c r="O7" s="147"/>
    </row>
    <row r="8" spans="1:16" ht="17.25" thickBot="1" x14ac:dyDescent="0.35">
      <c r="B8" s="148"/>
      <c r="C8" s="150"/>
      <c r="D8" s="5"/>
      <c r="E8" s="4" t="s">
        <v>8</v>
      </c>
      <c r="F8" s="4" t="s">
        <v>9</v>
      </c>
      <c r="G8" s="4" t="s">
        <v>10</v>
      </c>
      <c r="H8" s="5"/>
      <c r="I8" s="4" t="s">
        <v>11</v>
      </c>
      <c r="J8" s="4" t="s">
        <v>12</v>
      </c>
      <c r="K8" s="4" t="s">
        <v>10</v>
      </c>
      <c r="L8" s="5"/>
      <c r="M8" s="4" t="s">
        <v>11</v>
      </c>
      <c r="N8" s="4" t="s">
        <v>12</v>
      </c>
      <c r="O8" s="4" t="s">
        <v>10</v>
      </c>
    </row>
    <row r="9" spans="1:16" ht="20.25" customHeight="1" x14ac:dyDescent="0.3">
      <c r="B9" s="92" t="s">
        <v>13</v>
      </c>
      <c r="C9" s="93">
        <v>175589.31412818612</v>
      </c>
      <c r="D9" s="93"/>
      <c r="E9" s="93">
        <v>27045.638999999999</v>
      </c>
      <c r="F9" s="93">
        <v>22535.064999999999</v>
      </c>
      <c r="G9" s="93">
        <v>4510.5739999999996</v>
      </c>
      <c r="H9" s="93"/>
      <c r="I9" s="93">
        <v>27950.993653310281</v>
      </c>
      <c r="J9" s="93">
        <v>4262.384153077418</v>
      </c>
      <c r="K9" s="93">
        <v>23688.609500232869</v>
      </c>
      <c r="L9" s="93"/>
      <c r="M9" s="93">
        <v>120592.6814748758</v>
      </c>
      <c r="N9" s="93">
        <v>2781.6400939717137</v>
      </c>
      <c r="O9" s="93">
        <v>117811.04138090411</v>
      </c>
    </row>
    <row r="10" spans="1:16" s="68" customFormat="1" ht="13.5" customHeight="1" x14ac:dyDescent="0.25">
      <c r="A10" s="79"/>
      <c r="B10" s="11" t="s">
        <v>14</v>
      </c>
      <c r="C10" s="65">
        <v>3260.3438659818739</v>
      </c>
      <c r="D10" s="65"/>
      <c r="E10" s="65">
        <v>855.02500000000009</v>
      </c>
      <c r="F10" s="65">
        <v>851.52500000000009</v>
      </c>
      <c r="G10" s="65">
        <v>3.5</v>
      </c>
      <c r="H10" s="65"/>
      <c r="I10" s="65">
        <v>754.27100542094865</v>
      </c>
      <c r="J10" s="33">
        <v>31.2730000307557</v>
      </c>
      <c r="K10" s="33">
        <v>722.99800539019293</v>
      </c>
      <c r="L10" s="35"/>
      <c r="M10" s="33">
        <v>1651.0478605609248</v>
      </c>
      <c r="N10" s="33">
        <v>0</v>
      </c>
      <c r="O10" s="33">
        <v>1651.0478605609248</v>
      </c>
      <c r="P10" s="56"/>
    </row>
    <row r="11" spans="1:16" s="68" customFormat="1" ht="13.5" customHeight="1" x14ac:dyDescent="0.25">
      <c r="A11" s="79"/>
      <c r="B11" s="7" t="s">
        <v>15</v>
      </c>
      <c r="C11" s="65">
        <v>10743.668905590974</v>
      </c>
      <c r="D11" s="65"/>
      <c r="E11" s="65">
        <v>1885.9490000000003</v>
      </c>
      <c r="F11" s="65">
        <v>1435.547</v>
      </c>
      <c r="G11" s="65">
        <v>450.40200000000033</v>
      </c>
      <c r="H11" s="65"/>
      <c r="I11" s="65">
        <v>1223.0469956508266</v>
      </c>
      <c r="J11" s="33">
        <v>526.661998130283</v>
      </c>
      <c r="K11" s="33">
        <v>696.38499752054361</v>
      </c>
      <c r="L11" s="35"/>
      <c r="M11" s="33">
        <v>7634.6729099401473</v>
      </c>
      <c r="N11" s="33">
        <v>117.66824880360896</v>
      </c>
      <c r="O11" s="33">
        <v>7517.0046611365387</v>
      </c>
      <c r="P11" s="56"/>
    </row>
    <row r="12" spans="1:16" s="68" customFormat="1" ht="13.5" customHeight="1" x14ac:dyDescent="0.25">
      <c r="A12" s="79"/>
      <c r="B12" s="7" t="s">
        <v>16</v>
      </c>
      <c r="C12" s="65">
        <v>8129.1022925056886</v>
      </c>
      <c r="D12" s="65"/>
      <c r="E12" s="65">
        <v>1283.963</v>
      </c>
      <c r="F12" s="65">
        <v>1013.48</v>
      </c>
      <c r="G12" s="65">
        <v>270.483</v>
      </c>
      <c r="H12" s="65"/>
      <c r="I12" s="65">
        <v>1290.8300007338721</v>
      </c>
      <c r="J12" s="33">
        <v>9.0679999645805012</v>
      </c>
      <c r="K12" s="33">
        <v>1281.7620007692917</v>
      </c>
      <c r="L12" s="35"/>
      <c r="M12" s="33">
        <v>5554.3092917718168</v>
      </c>
      <c r="N12" s="33">
        <v>11.637905119853</v>
      </c>
      <c r="O12" s="33">
        <v>5542.671386651964</v>
      </c>
      <c r="P12" s="56"/>
    </row>
    <row r="13" spans="1:16" s="68" customFormat="1" ht="13.5" customHeight="1" x14ac:dyDescent="0.25">
      <c r="A13" s="79"/>
      <c r="B13" s="7" t="s">
        <v>17</v>
      </c>
      <c r="C13" s="65">
        <v>10214.071413793465</v>
      </c>
      <c r="D13" s="65"/>
      <c r="E13" s="65">
        <v>1493.011</v>
      </c>
      <c r="F13" s="65">
        <v>1214.53</v>
      </c>
      <c r="G13" s="65">
        <v>278.48099999999999</v>
      </c>
      <c r="H13" s="65"/>
      <c r="I13" s="65">
        <v>1739.5439986230167</v>
      </c>
      <c r="J13" s="33">
        <v>977.89100084724839</v>
      </c>
      <c r="K13" s="33">
        <v>761.6529977757682</v>
      </c>
      <c r="L13" s="35"/>
      <c r="M13" s="33">
        <v>6981.5164151704475</v>
      </c>
      <c r="N13" s="33">
        <v>576.47757331345963</v>
      </c>
      <c r="O13" s="33">
        <v>6405.0388418569883</v>
      </c>
      <c r="P13" s="56"/>
    </row>
    <row r="14" spans="1:16" s="68" customFormat="1" ht="13.5" customHeight="1" x14ac:dyDescent="0.25">
      <c r="A14" s="79"/>
      <c r="B14" s="7" t="s">
        <v>18</v>
      </c>
      <c r="C14" s="65">
        <v>12585.252410716412</v>
      </c>
      <c r="D14" s="65"/>
      <c r="E14" s="65">
        <v>1794.0490000000002</v>
      </c>
      <c r="F14" s="65">
        <v>1726.6880000000001</v>
      </c>
      <c r="G14" s="65">
        <v>67.361000000000004</v>
      </c>
      <c r="H14" s="65"/>
      <c r="I14" s="65">
        <v>1855.3480019298827</v>
      </c>
      <c r="J14" s="33">
        <v>297.4379980294558</v>
      </c>
      <c r="K14" s="33">
        <v>1557.9100039004268</v>
      </c>
      <c r="L14" s="35"/>
      <c r="M14" s="33">
        <v>8935.8554087865286</v>
      </c>
      <c r="N14" s="33">
        <v>111.93812914138692</v>
      </c>
      <c r="O14" s="33">
        <v>8823.9172796451421</v>
      </c>
      <c r="P14" s="56"/>
    </row>
    <row r="15" spans="1:16" s="68" customFormat="1" ht="13.5" customHeight="1" x14ac:dyDescent="0.25">
      <c r="A15" s="79"/>
      <c r="B15" s="7" t="s">
        <v>19</v>
      </c>
      <c r="C15" s="65">
        <v>14718.215494619897</v>
      </c>
      <c r="D15" s="65"/>
      <c r="E15" s="65">
        <v>1740.068</v>
      </c>
      <c r="F15" s="65">
        <v>1519.4880000000001</v>
      </c>
      <c r="G15" s="65">
        <v>220.58</v>
      </c>
      <c r="H15" s="65"/>
      <c r="I15" s="65">
        <v>888.77800131592153</v>
      </c>
      <c r="J15" s="33">
        <v>31.778999745846001</v>
      </c>
      <c r="K15" s="33">
        <v>856.99900157007551</v>
      </c>
      <c r="L15" s="35"/>
      <c r="M15" s="33">
        <v>12089.369493303975</v>
      </c>
      <c r="N15" s="33">
        <v>67.399536144398084</v>
      </c>
      <c r="O15" s="33">
        <v>12021.969957159577</v>
      </c>
      <c r="P15" s="56"/>
    </row>
    <row r="16" spans="1:16" s="68" customFormat="1" ht="13.5" customHeight="1" x14ac:dyDescent="0.25">
      <c r="A16" s="67"/>
      <c r="B16" s="7" t="s">
        <v>20</v>
      </c>
      <c r="C16" s="65">
        <v>52.063000138042</v>
      </c>
      <c r="D16" s="65"/>
      <c r="E16" s="65">
        <v>45.164000000000001</v>
      </c>
      <c r="F16" s="65">
        <v>45.164000000000001</v>
      </c>
      <c r="G16" s="65">
        <v>0</v>
      </c>
      <c r="H16" s="65"/>
      <c r="I16" s="65">
        <v>6.8990001380420001</v>
      </c>
      <c r="J16" s="33">
        <v>5.1510001122920004</v>
      </c>
      <c r="K16" s="33">
        <v>1.7480000257499999</v>
      </c>
      <c r="L16" s="35"/>
      <c r="M16" s="33">
        <v>0</v>
      </c>
      <c r="N16" s="33">
        <v>0</v>
      </c>
      <c r="O16" s="33">
        <v>0</v>
      </c>
      <c r="P16" s="56"/>
    </row>
    <row r="17" spans="1:16" s="68" customFormat="1" ht="13.5" customHeight="1" x14ac:dyDescent="0.25">
      <c r="A17" s="79"/>
      <c r="B17" s="7" t="s">
        <v>21</v>
      </c>
      <c r="C17" s="65">
        <v>17504.696489054128</v>
      </c>
      <c r="D17" s="65"/>
      <c r="E17" s="65">
        <v>2032.8430000000003</v>
      </c>
      <c r="F17" s="65">
        <v>1623.4540000000002</v>
      </c>
      <c r="G17" s="65">
        <v>409.38900000000001</v>
      </c>
      <c r="H17" s="65"/>
      <c r="I17" s="65">
        <v>2803.4849913741918</v>
      </c>
      <c r="J17" s="33">
        <v>565.21599998979582</v>
      </c>
      <c r="K17" s="33">
        <v>2238.268991384396</v>
      </c>
      <c r="L17" s="35"/>
      <c r="M17" s="33">
        <v>12668.368497679936</v>
      </c>
      <c r="N17" s="33">
        <v>304.5990020726943</v>
      </c>
      <c r="O17" s="33">
        <v>12363.769495607241</v>
      </c>
      <c r="P17" s="56"/>
    </row>
    <row r="18" spans="1:16" s="68" customFormat="1" ht="13.5" customHeight="1" x14ac:dyDescent="0.25">
      <c r="A18" s="79"/>
      <c r="B18" s="7" t="s">
        <v>22</v>
      </c>
      <c r="C18" s="65">
        <v>8244.3118957699426</v>
      </c>
      <c r="D18" s="65"/>
      <c r="E18" s="65">
        <v>1446.3240000000001</v>
      </c>
      <c r="F18" s="65">
        <v>1187.846</v>
      </c>
      <c r="G18" s="65">
        <v>258.47800000000007</v>
      </c>
      <c r="H18" s="65"/>
      <c r="I18" s="65">
        <v>2002.2579977664318</v>
      </c>
      <c r="J18" s="33">
        <v>21.293999686835996</v>
      </c>
      <c r="K18" s="33">
        <v>1980.9639980795957</v>
      </c>
      <c r="L18" s="35"/>
      <c r="M18" s="33">
        <v>4795.7298980035112</v>
      </c>
      <c r="N18" s="33">
        <v>0.66000002622599996</v>
      </c>
      <c r="O18" s="33">
        <v>4795.0698979772851</v>
      </c>
      <c r="P18" s="56"/>
    </row>
    <row r="19" spans="1:16" s="68" customFormat="1" ht="13.5" customHeight="1" x14ac:dyDescent="0.25">
      <c r="A19" s="79"/>
      <c r="B19" s="7" t="s">
        <v>23</v>
      </c>
      <c r="C19" s="65">
        <v>7873.8607900079751</v>
      </c>
      <c r="D19" s="65"/>
      <c r="E19" s="65">
        <v>1313.473</v>
      </c>
      <c r="F19" s="65">
        <v>914.024</v>
      </c>
      <c r="G19" s="65">
        <v>399.44900000000001</v>
      </c>
      <c r="H19" s="65"/>
      <c r="I19" s="65">
        <v>772.43999722959404</v>
      </c>
      <c r="J19" s="33">
        <v>16.683999944470699</v>
      </c>
      <c r="K19" s="33">
        <v>755.75599728512339</v>
      </c>
      <c r="L19" s="35"/>
      <c r="M19" s="33">
        <v>5787.947792778381</v>
      </c>
      <c r="N19" s="33">
        <v>81.416613857685746</v>
      </c>
      <c r="O19" s="33">
        <v>5706.5311789206953</v>
      </c>
      <c r="P19" s="56"/>
    </row>
    <row r="20" spans="1:16" s="68" customFormat="1" ht="13.5" customHeight="1" x14ac:dyDescent="0.25">
      <c r="A20" s="79"/>
      <c r="B20" s="7" t="s">
        <v>24</v>
      </c>
      <c r="C20" s="65">
        <v>3646.1673276150718</v>
      </c>
      <c r="D20" s="65"/>
      <c r="E20" s="65">
        <v>697.3</v>
      </c>
      <c r="F20" s="65">
        <v>683.25</v>
      </c>
      <c r="G20" s="65">
        <v>14.049999999999999</v>
      </c>
      <c r="H20" s="65"/>
      <c r="I20" s="65">
        <v>743.06299649173195</v>
      </c>
      <c r="J20" s="33">
        <v>48.940999388683004</v>
      </c>
      <c r="K20" s="33">
        <v>694.1219971030489</v>
      </c>
      <c r="L20" s="35"/>
      <c r="M20" s="33">
        <v>2205.80433112334</v>
      </c>
      <c r="N20" s="33">
        <v>182.15993206579165</v>
      </c>
      <c r="O20" s="33">
        <v>2023.6443990575483</v>
      </c>
      <c r="P20" s="56"/>
    </row>
    <row r="21" spans="1:16" s="68" customFormat="1" ht="13.5" customHeight="1" x14ac:dyDescent="0.25">
      <c r="A21" s="79"/>
      <c r="B21" s="7" t="s">
        <v>25</v>
      </c>
      <c r="C21" s="65">
        <v>11995.432764151185</v>
      </c>
      <c r="D21" s="65"/>
      <c r="E21" s="65">
        <v>1783.4699999999998</v>
      </c>
      <c r="F21" s="65">
        <v>1061.5940000000001</v>
      </c>
      <c r="G21" s="65">
        <v>721.87599999999986</v>
      </c>
      <c r="H21" s="65"/>
      <c r="I21" s="65">
        <v>1125.1850039273729</v>
      </c>
      <c r="J21" s="33">
        <v>76.729000288985802</v>
      </c>
      <c r="K21" s="33">
        <v>1048.4560036383871</v>
      </c>
      <c r="L21" s="35"/>
      <c r="M21" s="33">
        <v>9086.7777602238129</v>
      </c>
      <c r="N21" s="33">
        <v>239.59315551523684</v>
      </c>
      <c r="O21" s="33">
        <v>8847.1846047085764</v>
      </c>
      <c r="P21" s="56"/>
    </row>
    <row r="22" spans="1:16" s="68" customFormat="1" ht="13.5" customHeight="1" x14ac:dyDescent="0.25">
      <c r="A22" s="79"/>
      <c r="B22" s="7" t="s">
        <v>26</v>
      </c>
      <c r="C22" s="65">
        <v>8807.9939244687193</v>
      </c>
      <c r="D22" s="65"/>
      <c r="E22" s="65">
        <v>1262.1689999999999</v>
      </c>
      <c r="F22" s="65">
        <v>954.61099999999988</v>
      </c>
      <c r="G22" s="65">
        <v>307.55799999999994</v>
      </c>
      <c r="H22" s="65"/>
      <c r="I22" s="65">
        <v>1941.1710019166974</v>
      </c>
      <c r="J22" s="33">
        <v>106.396999984964</v>
      </c>
      <c r="K22" s="33">
        <v>1834.7740019317334</v>
      </c>
      <c r="L22" s="35"/>
      <c r="M22" s="33">
        <v>5604.6539225520228</v>
      </c>
      <c r="N22" s="33">
        <v>160.46000087263297</v>
      </c>
      <c r="O22" s="33">
        <v>5444.1939216793899</v>
      </c>
      <c r="P22" s="56"/>
    </row>
    <row r="23" spans="1:16" s="68" customFormat="1" ht="13.5" customHeight="1" x14ac:dyDescent="0.25">
      <c r="A23" s="79"/>
      <c r="B23" s="7" t="s">
        <v>27</v>
      </c>
      <c r="C23" s="65">
        <v>3197.4969988252446</v>
      </c>
      <c r="D23" s="65"/>
      <c r="E23" s="65">
        <v>469.04900000000004</v>
      </c>
      <c r="F23" s="65">
        <v>450.82100000000003</v>
      </c>
      <c r="G23" s="65">
        <v>18.228000000000002</v>
      </c>
      <c r="H23" s="65"/>
      <c r="I23" s="65">
        <v>674.46300070731741</v>
      </c>
      <c r="J23" s="33">
        <v>208.61300143597418</v>
      </c>
      <c r="K23" s="33">
        <v>465.84999927134322</v>
      </c>
      <c r="L23" s="35"/>
      <c r="M23" s="33">
        <v>2053.9849981179273</v>
      </c>
      <c r="N23" s="33">
        <v>27.550000309939996</v>
      </c>
      <c r="O23" s="33">
        <v>2026.4349978079872</v>
      </c>
      <c r="P23" s="56"/>
    </row>
    <row r="24" spans="1:16" s="68" customFormat="1" ht="13.5" customHeight="1" x14ac:dyDescent="0.25">
      <c r="A24" s="79"/>
      <c r="B24" s="7" t="s">
        <v>28</v>
      </c>
      <c r="C24" s="65">
        <v>7615.5838669474906</v>
      </c>
      <c r="D24" s="65"/>
      <c r="E24" s="65">
        <v>1685.049</v>
      </c>
      <c r="F24" s="65">
        <v>1357.424</v>
      </c>
      <c r="G24" s="65">
        <v>327.62500000000006</v>
      </c>
      <c r="H24" s="65"/>
      <c r="I24" s="65">
        <v>1609.6720100295247</v>
      </c>
      <c r="J24" s="33">
        <v>160.41300186044811</v>
      </c>
      <c r="K24" s="33">
        <v>1449.2590081690767</v>
      </c>
      <c r="L24" s="35"/>
      <c r="M24" s="33">
        <v>4320.8628569179664</v>
      </c>
      <c r="N24" s="33">
        <v>154.29928537859098</v>
      </c>
      <c r="O24" s="33">
        <v>4166.5635715393755</v>
      </c>
      <c r="P24" s="56"/>
    </row>
    <row r="25" spans="1:16" s="68" customFormat="1" ht="13.5" customHeight="1" x14ac:dyDescent="0.25">
      <c r="A25" s="79"/>
      <c r="B25" s="7" t="s">
        <v>29</v>
      </c>
      <c r="C25" s="65">
        <v>893.55899984039411</v>
      </c>
      <c r="D25" s="65"/>
      <c r="E25" s="65">
        <v>128.87099999999998</v>
      </c>
      <c r="F25" s="65">
        <v>88.611999999999995</v>
      </c>
      <c r="G25" s="65">
        <v>40.259</v>
      </c>
      <c r="H25" s="65"/>
      <c r="I25" s="65">
        <v>320.74699778065502</v>
      </c>
      <c r="J25" s="33">
        <v>97.167001076066001</v>
      </c>
      <c r="K25" s="33">
        <v>223.57999670458904</v>
      </c>
      <c r="L25" s="35"/>
      <c r="M25" s="33">
        <v>443.94100205973911</v>
      </c>
      <c r="N25" s="33">
        <v>19.130000222480099</v>
      </c>
      <c r="O25" s="33">
        <v>424.81100183725903</v>
      </c>
      <c r="P25" s="56"/>
    </row>
    <row r="26" spans="1:16" s="68" customFormat="1" ht="13.5" customHeight="1" x14ac:dyDescent="0.25">
      <c r="A26" s="79"/>
      <c r="B26" s="7" t="s">
        <v>30</v>
      </c>
      <c r="C26" s="65">
        <v>2015.0389983015973</v>
      </c>
      <c r="D26" s="65"/>
      <c r="E26" s="65">
        <v>399.27600000000001</v>
      </c>
      <c r="F26" s="65">
        <v>399.27600000000001</v>
      </c>
      <c r="G26" s="65">
        <v>0</v>
      </c>
      <c r="H26" s="65"/>
      <c r="I26" s="65">
        <v>339.97899851575249</v>
      </c>
      <c r="J26" s="33">
        <v>2.3380000591279999</v>
      </c>
      <c r="K26" s="33">
        <v>337.64099845662452</v>
      </c>
      <c r="L26" s="35"/>
      <c r="M26" s="33">
        <v>1275.7839997858448</v>
      </c>
      <c r="N26" s="33">
        <v>6.4050000607950004</v>
      </c>
      <c r="O26" s="33">
        <v>1269.3789997250499</v>
      </c>
      <c r="P26" s="56"/>
    </row>
    <row r="27" spans="1:16" s="68" customFormat="1" ht="13.5" customHeight="1" x14ac:dyDescent="0.25">
      <c r="A27" s="79"/>
      <c r="B27" s="7" t="s">
        <v>31</v>
      </c>
      <c r="C27" s="65">
        <v>2933.2392970167475</v>
      </c>
      <c r="D27" s="65"/>
      <c r="E27" s="65">
        <v>470.28500000000003</v>
      </c>
      <c r="F27" s="65">
        <v>470.28500000000003</v>
      </c>
      <c r="G27" s="65">
        <v>0</v>
      </c>
      <c r="H27" s="65"/>
      <c r="I27" s="65">
        <v>906.90900000179533</v>
      </c>
      <c r="J27" s="33">
        <v>117.61200124778421</v>
      </c>
      <c r="K27" s="33">
        <v>789.29699875401116</v>
      </c>
      <c r="L27" s="35"/>
      <c r="M27" s="33">
        <v>1556.0452970149524</v>
      </c>
      <c r="N27" s="33">
        <v>108.50890146858178</v>
      </c>
      <c r="O27" s="33">
        <v>1447.5363955463706</v>
      </c>
      <c r="P27" s="56"/>
    </row>
    <row r="28" spans="1:16" s="68" customFormat="1" ht="13.5" customHeight="1" x14ac:dyDescent="0.25">
      <c r="A28" s="79"/>
      <c r="B28" s="7" t="s">
        <v>32</v>
      </c>
      <c r="C28" s="65">
        <v>3597.8745999328767</v>
      </c>
      <c r="D28" s="65"/>
      <c r="E28" s="65">
        <v>588.29499999999996</v>
      </c>
      <c r="F28" s="65">
        <v>367.142</v>
      </c>
      <c r="G28" s="65">
        <v>221.15299999999996</v>
      </c>
      <c r="H28" s="65"/>
      <c r="I28" s="65">
        <v>917.78265024823065</v>
      </c>
      <c r="J28" s="33">
        <v>34.677149740082996</v>
      </c>
      <c r="K28" s="33">
        <v>883.10550050814766</v>
      </c>
      <c r="L28" s="35"/>
      <c r="M28" s="33">
        <v>2091.7969496846463</v>
      </c>
      <c r="N28" s="33">
        <v>13.273904947669999</v>
      </c>
      <c r="O28" s="33">
        <v>2078.5230447369763</v>
      </c>
      <c r="P28" s="56"/>
    </row>
    <row r="29" spans="1:16" s="68" customFormat="1" ht="13.5" customHeight="1" x14ac:dyDescent="0.25">
      <c r="A29" s="79"/>
      <c r="B29" s="7" t="s">
        <v>34</v>
      </c>
      <c r="C29" s="65">
        <v>8865.7713564365968</v>
      </c>
      <c r="D29" s="65"/>
      <c r="E29" s="65">
        <v>1732.9679999999998</v>
      </c>
      <c r="F29" s="65">
        <v>1655.636</v>
      </c>
      <c r="G29" s="65">
        <v>77.331999999999994</v>
      </c>
      <c r="H29" s="65"/>
      <c r="I29" s="65">
        <v>634.48800378502983</v>
      </c>
      <c r="J29" s="33">
        <v>168.90599995295491</v>
      </c>
      <c r="K29" s="33">
        <v>465.58200383207497</v>
      </c>
      <c r="L29" s="35"/>
      <c r="M29" s="33">
        <v>6498.3153526515671</v>
      </c>
      <c r="N29" s="33">
        <v>333.29000106083959</v>
      </c>
      <c r="O29" s="33">
        <v>6165.025351590728</v>
      </c>
      <c r="P29" s="56"/>
    </row>
    <row r="30" spans="1:16" s="68" customFormat="1" ht="13.5" customHeight="1" x14ac:dyDescent="0.25">
      <c r="A30" s="79"/>
      <c r="B30" s="7" t="s">
        <v>35</v>
      </c>
      <c r="C30" s="65">
        <v>17298.338360415793</v>
      </c>
      <c r="D30" s="65"/>
      <c r="E30" s="65">
        <v>2018.9490000000001</v>
      </c>
      <c r="F30" s="65">
        <v>1804.0720000000001</v>
      </c>
      <c r="G30" s="65">
        <v>214.87699999999998</v>
      </c>
      <c r="H30" s="65"/>
      <c r="I30" s="65">
        <v>2369.0669947413553</v>
      </c>
      <c r="J30" s="33">
        <v>404.28299959562764</v>
      </c>
      <c r="K30" s="33">
        <v>1964.7839951457277</v>
      </c>
      <c r="L30" s="35"/>
      <c r="M30" s="33">
        <v>12910.322365674439</v>
      </c>
      <c r="N30" s="33">
        <v>76.205467868100598</v>
      </c>
      <c r="O30" s="33">
        <v>12834.11689780634</v>
      </c>
      <c r="P30" s="56"/>
    </row>
    <row r="31" spans="1:16" s="68" customFormat="1" ht="13.5" customHeight="1" x14ac:dyDescent="0.25">
      <c r="A31" s="79"/>
      <c r="B31" s="7" t="s">
        <v>36</v>
      </c>
      <c r="C31" s="65">
        <v>5250.3058053774275</v>
      </c>
      <c r="D31" s="65"/>
      <c r="E31" s="65">
        <v>824.04199999999992</v>
      </c>
      <c r="F31" s="65">
        <v>769.55599999999993</v>
      </c>
      <c r="G31" s="65">
        <v>54.48599999999999</v>
      </c>
      <c r="H31" s="65"/>
      <c r="I31" s="65">
        <v>965.54300210253189</v>
      </c>
      <c r="J31" s="33">
        <v>191.56699976332996</v>
      </c>
      <c r="K31" s="33">
        <v>773.97600233920195</v>
      </c>
      <c r="L31" s="35"/>
      <c r="M31" s="39">
        <v>3460.7208032748954</v>
      </c>
      <c r="N31" s="33">
        <v>2.1974314564568003</v>
      </c>
      <c r="O31" s="33">
        <v>3458.5233718184386</v>
      </c>
      <c r="P31" s="56"/>
    </row>
    <row r="32" spans="1:16" s="68" customFormat="1" ht="13.5" customHeight="1" x14ac:dyDescent="0.25">
      <c r="A32" s="79"/>
      <c r="B32" s="7" t="s">
        <v>37</v>
      </c>
      <c r="C32" s="65">
        <v>2643.0962731984519</v>
      </c>
      <c r="D32" s="65"/>
      <c r="E32" s="65">
        <v>631.053</v>
      </c>
      <c r="F32" s="65">
        <v>580.05899999999997</v>
      </c>
      <c r="G32" s="65">
        <v>50.993999999999993</v>
      </c>
      <c r="H32" s="65"/>
      <c r="I32" s="65">
        <v>489.70400172482209</v>
      </c>
      <c r="J32" s="33">
        <v>85.003000736230007</v>
      </c>
      <c r="K32" s="33">
        <v>404.70100098859206</v>
      </c>
      <c r="L32" s="35"/>
      <c r="M32" s="39">
        <v>1522.3392714736299</v>
      </c>
      <c r="N32" s="33">
        <v>175.12000443440661</v>
      </c>
      <c r="O32" s="33">
        <v>1347.2192670392233</v>
      </c>
      <c r="P32" s="56"/>
    </row>
    <row r="33" spans="1:16" s="68" customFormat="1" ht="13.5" customHeight="1" x14ac:dyDescent="0.25">
      <c r="A33" s="79"/>
      <c r="B33" s="7" t="s">
        <v>38</v>
      </c>
      <c r="C33" s="65">
        <v>993.29499595839502</v>
      </c>
      <c r="D33" s="65"/>
      <c r="E33" s="65">
        <v>138.47399999999999</v>
      </c>
      <c r="F33" s="65">
        <v>138.47399999999999</v>
      </c>
      <c r="G33" s="65">
        <v>0</v>
      </c>
      <c r="H33" s="65"/>
      <c r="I33" s="65">
        <v>287.49799814828003</v>
      </c>
      <c r="J33" s="33">
        <v>71.736001461784994</v>
      </c>
      <c r="K33" s="33">
        <v>215.76199668649502</v>
      </c>
      <c r="L33" s="35"/>
      <c r="M33" s="39">
        <v>567.322997810115</v>
      </c>
      <c r="N33" s="33">
        <v>9.3299997933260013</v>
      </c>
      <c r="O33" s="33">
        <v>557.99299801678899</v>
      </c>
      <c r="P33" s="56"/>
    </row>
    <row r="34" spans="1:16" s="68" customFormat="1" ht="13.5" customHeight="1" thickBot="1" x14ac:dyDescent="0.3">
      <c r="A34" s="79"/>
      <c r="B34" s="13" t="s">
        <v>39</v>
      </c>
      <c r="C34" s="42">
        <v>2510.5340015217221</v>
      </c>
      <c r="D34" s="42"/>
      <c r="E34" s="42">
        <v>326.52</v>
      </c>
      <c r="F34" s="42">
        <v>222.50700000000001</v>
      </c>
      <c r="G34" s="42">
        <v>104.01299999999999</v>
      </c>
      <c r="H34" s="42"/>
      <c r="I34" s="42">
        <v>1288.8220030064599</v>
      </c>
      <c r="J34" s="42">
        <v>5.5460000038099997</v>
      </c>
      <c r="K34" s="42">
        <v>1283.27600300265</v>
      </c>
      <c r="L34" s="42"/>
      <c r="M34" s="42">
        <v>895.19199851526207</v>
      </c>
      <c r="N34" s="42">
        <v>2.3200000375520005</v>
      </c>
      <c r="O34" s="42">
        <v>892.87199847771012</v>
      </c>
      <c r="P34" s="56"/>
    </row>
    <row r="35" spans="1:16" s="85" customFormat="1" ht="26.25" customHeight="1" x14ac:dyDescent="0.25">
      <c r="B35" s="199" t="s">
        <v>60</v>
      </c>
      <c r="C35" s="199"/>
      <c r="D35" s="199"/>
      <c r="E35" s="199"/>
      <c r="F35" s="199"/>
      <c r="G35" s="199"/>
      <c r="H35" s="199"/>
      <c r="I35" s="199"/>
      <c r="J35" s="199"/>
      <c r="K35" s="199"/>
      <c r="L35" s="199"/>
      <c r="M35" s="199"/>
      <c r="N35" s="199"/>
      <c r="O35" s="199"/>
    </row>
    <row r="36" spans="1:16" s="85" customFormat="1" ht="25.5" customHeight="1" x14ac:dyDescent="0.25">
      <c r="B36" s="153" t="s">
        <v>113</v>
      </c>
      <c r="C36" s="153"/>
      <c r="D36" s="153"/>
      <c r="E36" s="153"/>
      <c r="F36" s="153"/>
      <c r="G36" s="153"/>
      <c r="H36" s="153"/>
      <c r="I36" s="153"/>
      <c r="J36" s="153"/>
      <c r="K36" s="153"/>
      <c r="L36" s="153"/>
      <c r="M36" s="153"/>
      <c r="N36" s="153"/>
      <c r="O36" s="153"/>
    </row>
    <row r="37" spans="1:16" s="85" customFormat="1" ht="16.5" customHeight="1" x14ac:dyDescent="0.25">
      <c r="B37" s="71" t="s">
        <v>114</v>
      </c>
      <c r="C37" s="86"/>
      <c r="D37" s="86"/>
      <c r="E37" s="86"/>
      <c r="F37" s="86"/>
      <c r="G37" s="86"/>
      <c r="H37" s="86"/>
      <c r="I37" s="86"/>
      <c r="J37" s="86"/>
      <c r="K37" s="86"/>
      <c r="L37" s="86"/>
      <c r="M37" s="86"/>
      <c r="N37" s="86"/>
      <c r="O37" s="86"/>
    </row>
    <row r="38" spans="1:16" s="85" customFormat="1" x14ac:dyDescent="0.25">
      <c r="B38" s="71" t="s">
        <v>43</v>
      </c>
      <c r="C38" s="86"/>
      <c r="D38" s="86"/>
      <c r="E38" s="86"/>
      <c r="F38" s="86"/>
      <c r="G38" s="86"/>
      <c r="H38" s="86"/>
      <c r="I38" s="86"/>
      <c r="J38" s="86"/>
      <c r="K38" s="86"/>
      <c r="L38" s="86"/>
      <c r="M38" s="86"/>
      <c r="N38" s="86"/>
      <c r="O38" s="86"/>
    </row>
    <row r="39" spans="1:16" x14ac:dyDescent="0.3">
      <c r="B39" s="44"/>
      <c r="C39" s="44"/>
      <c r="D39" s="44"/>
      <c r="E39" s="44"/>
      <c r="F39" s="44"/>
      <c r="G39" s="44"/>
      <c r="H39" s="44"/>
      <c r="I39" s="44"/>
      <c r="J39" s="44"/>
      <c r="K39" s="44"/>
      <c r="L39" s="44"/>
      <c r="M39" s="44"/>
      <c r="N39" s="44"/>
    </row>
    <row r="40" spans="1:16" x14ac:dyDescent="0.3">
      <c r="B40" s="201" t="s">
        <v>218</v>
      </c>
      <c r="C40" s="201"/>
      <c r="D40" s="201"/>
      <c r="E40" s="201"/>
      <c r="F40" s="201"/>
      <c r="G40" s="201"/>
      <c r="H40" s="201"/>
      <c r="I40" s="201"/>
      <c r="J40" s="201"/>
      <c r="K40" s="201"/>
      <c r="L40" s="201"/>
      <c r="M40" s="201"/>
      <c r="N40" s="201"/>
      <c r="O40" s="201"/>
    </row>
    <row r="41" spans="1:16" x14ac:dyDescent="0.3">
      <c r="B41" s="200" t="s">
        <v>125</v>
      </c>
      <c r="C41" s="200"/>
      <c r="D41" s="200"/>
      <c r="E41" s="200"/>
      <c r="F41" s="200"/>
      <c r="G41" s="200"/>
      <c r="H41" s="200"/>
      <c r="I41" s="200"/>
      <c r="J41" s="200"/>
      <c r="K41" s="200"/>
      <c r="L41" s="200"/>
      <c r="M41" s="200"/>
      <c r="N41" s="200"/>
      <c r="O41" s="200"/>
    </row>
    <row r="43" spans="1:16" ht="17.25" thickBot="1" x14ac:dyDescent="0.35">
      <c r="B43" s="44"/>
      <c r="C43" s="44"/>
      <c r="D43" s="44"/>
      <c r="E43" s="44"/>
      <c r="F43" s="44"/>
      <c r="G43" s="44"/>
      <c r="H43" s="78" t="s">
        <v>2</v>
      </c>
      <c r="I43" s="44"/>
      <c r="J43" s="44"/>
      <c r="K43" s="44"/>
      <c r="L43" s="44"/>
      <c r="M43" s="44"/>
      <c r="N43" s="44"/>
      <c r="O43" s="44"/>
    </row>
    <row r="44" spans="1:16" x14ac:dyDescent="0.3">
      <c r="B44" s="147" t="s">
        <v>3</v>
      </c>
      <c r="C44" s="163" t="s">
        <v>4</v>
      </c>
      <c r="D44" s="60"/>
      <c r="E44" s="193" t="s">
        <v>5</v>
      </c>
      <c r="F44" s="193"/>
      <c r="G44" s="193"/>
      <c r="H44" s="61"/>
      <c r="I44" s="147" t="s">
        <v>123</v>
      </c>
      <c r="J44" s="147"/>
      <c r="K44" s="147"/>
      <c r="L44" s="3"/>
      <c r="M44" s="147" t="s">
        <v>124</v>
      </c>
      <c r="N44" s="147"/>
      <c r="O44" s="147"/>
    </row>
    <row r="45" spans="1:16" ht="17.25"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1:16" x14ac:dyDescent="0.3">
      <c r="B46" s="55" t="s">
        <v>13</v>
      </c>
      <c r="C46" s="29">
        <v>173057.81533002123</v>
      </c>
      <c r="D46" s="29"/>
      <c r="E46" s="29">
        <v>27041.261999999999</v>
      </c>
      <c r="F46" s="29">
        <v>22600.491999999998</v>
      </c>
      <c r="G46" s="29">
        <v>4440.7700000000004</v>
      </c>
      <c r="H46" s="29"/>
      <c r="I46" s="29">
        <v>27947.012214870025</v>
      </c>
      <c r="J46" s="29">
        <v>4660.9213875718342</v>
      </c>
      <c r="K46" s="29">
        <v>23286.090827298198</v>
      </c>
      <c r="L46" s="29"/>
      <c r="M46" s="29">
        <v>118069.54111515122</v>
      </c>
      <c r="N46" s="29">
        <v>2807.7333984422335</v>
      </c>
      <c r="O46" s="8">
        <v>115261.80771670901</v>
      </c>
    </row>
    <row r="47" spans="1:16" x14ac:dyDescent="0.3">
      <c r="B47" s="80" t="s">
        <v>14</v>
      </c>
      <c r="C47" s="65">
        <v>3461.079631153174</v>
      </c>
      <c r="D47" s="65"/>
      <c r="E47" s="65">
        <v>855.02500000000009</v>
      </c>
      <c r="F47" s="65">
        <v>851.52500000000009</v>
      </c>
      <c r="G47" s="65">
        <v>3.5</v>
      </c>
      <c r="H47" s="65"/>
      <c r="I47" s="65">
        <v>880.79355685286271</v>
      </c>
      <c r="J47" s="33">
        <v>31.2730000307557</v>
      </c>
      <c r="K47" s="33">
        <v>849.52055682210698</v>
      </c>
      <c r="L47" s="35"/>
      <c r="M47" s="33">
        <v>1725.2610743003108</v>
      </c>
      <c r="N47" s="33">
        <v>0</v>
      </c>
      <c r="O47" s="68">
        <v>1725.2610743003108</v>
      </c>
    </row>
    <row r="48" spans="1:16" x14ac:dyDescent="0.3">
      <c r="B48" s="80" t="s">
        <v>15</v>
      </c>
      <c r="C48" s="65">
        <v>10738.343905743583</v>
      </c>
      <c r="D48" s="65"/>
      <c r="E48" s="65">
        <v>1881.4660000000001</v>
      </c>
      <c r="F48" s="65">
        <v>1431.606</v>
      </c>
      <c r="G48" s="65">
        <v>449.86000000000018</v>
      </c>
      <c r="H48" s="65"/>
      <c r="I48" s="65">
        <v>1223.0469956508268</v>
      </c>
      <c r="J48" s="33">
        <v>526.66199813028311</v>
      </c>
      <c r="K48" s="33">
        <v>696.38499752054361</v>
      </c>
      <c r="L48" s="35"/>
      <c r="M48" s="33">
        <v>7633.8309100927554</v>
      </c>
      <c r="N48" s="33">
        <v>117.66824880360896</v>
      </c>
      <c r="O48" s="33">
        <v>7516.1626612891469</v>
      </c>
    </row>
    <row r="49" spans="2:15" x14ac:dyDescent="0.3">
      <c r="B49" s="80" t="s">
        <v>16</v>
      </c>
      <c r="C49" s="65">
        <v>8123.0441407031067</v>
      </c>
      <c r="D49" s="65"/>
      <c r="E49" s="65">
        <v>1283.575</v>
      </c>
      <c r="F49" s="65">
        <v>1048.7619999999999</v>
      </c>
      <c r="G49" s="65">
        <v>234.81300000000002</v>
      </c>
      <c r="H49" s="65"/>
      <c r="I49" s="65">
        <v>1290.8300007338721</v>
      </c>
      <c r="J49" s="33">
        <v>9.0679999645805012</v>
      </c>
      <c r="K49" s="33">
        <v>1281.7620007692917</v>
      </c>
      <c r="L49" s="35"/>
      <c r="M49" s="33">
        <v>5548.6391399692347</v>
      </c>
      <c r="N49" s="33">
        <v>11.429773554299</v>
      </c>
      <c r="O49" s="33">
        <v>5537.2093664149361</v>
      </c>
    </row>
    <row r="50" spans="2:15" x14ac:dyDescent="0.3">
      <c r="B50" s="80" t="s">
        <v>17</v>
      </c>
      <c r="C50" s="65">
        <v>10231.44359417675</v>
      </c>
      <c r="D50" s="65"/>
      <c r="E50" s="65">
        <v>1495.011</v>
      </c>
      <c r="F50" s="65">
        <v>1214.53</v>
      </c>
      <c r="G50" s="65">
        <v>280.48099999999999</v>
      </c>
      <c r="H50" s="65"/>
      <c r="I50" s="65">
        <v>1736.1295377544934</v>
      </c>
      <c r="J50" s="33">
        <v>974.47653997872521</v>
      </c>
      <c r="K50" s="33">
        <v>761.6529977757682</v>
      </c>
      <c r="L50" s="35"/>
      <c r="M50" s="33">
        <v>7000.3030564222563</v>
      </c>
      <c r="N50" s="33">
        <v>587.83057332776957</v>
      </c>
      <c r="O50" s="33">
        <v>6412.472483094487</v>
      </c>
    </row>
    <row r="51" spans="2:15" x14ac:dyDescent="0.3">
      <c r="B51" s="80" t="s">
        <v>18</v>
      </c>
      <c r="C51" s="65">
        <v>12569.750067870111</v>
      </c>
      <c r="D51" s="65"/>
      <c r="E51" s="65">
        <v>1792.4809999999998</v>
      </c>
      <c r="F51" s="65">
        <v>1727.2069999999999</v>
      </c>
      <c r="G51" s="65">
        <v>65.273999999999987</v>
      </c>
      <c r="H51" s="65"/>
      <c r="I51" s="65">
        <v>1853.7730542035904</v>
      </c>
      <c r="J51" s="33">
        <v>312.86599809776408</v>
      </c>
      <c r="K51" s="33">
        <v>1540.9070561058263</v>
      </c>
      <c r="L51" s="35"/>
      <c r="M51" s="33">
        <v>8923.4960136665195</v>
      </c>
      <c r="N51" s="33">
        <v>102.59994509468734</v>
      </c>
      <c r="O51" s="33">
        <v>8820.8960685718321</v>
      </c>
    </row>
    <row r="52" spans="2:15" x14ac:dyDescent="0.3">
      <c r="B52" s="80" t="s">
        <v>19</v>
      </c>
      <c r="C52" s="65">
        <v>15610.518162200218</v>
      </c>
      <c r="D52" s="65"/>
      <c r="E52" s="65">
        <v>1745.2530000000002</v>
      </c>
      <c r="F52" s="65">
        <v>1528.5210000000002</v>
      </c>
      <c r="G52" s="65">
        <v>216.73199999999994</v>
      </c>
      <c r="H52" s="65"/>
      <c r="I52" s="65">
        <v>888.7780013159213</v>
      </c>
      <c r="J52" s="33">
        <v>31.778999745846001</v>
      </c>
      <c r="K52" s="33">
        <v>856.99900157007528</v>
      </c>
      <c r="L52" s="35"/>
      <c r="M52" s="33">
        <v>12976.487160884297</v>
      </c>
      <c r="N52" s="33">
        <v>69.694373532675399</v>
      </c>
      <c r="O52" s="33">
        <v>12906.792787351622</v>
      </c>
    </row>
    <row r="53" spans="2:15" x14ac:dyDescent="0.3">
      <c r="B53" s="80" t="s">
        <v>20</v>
      </c>
      <c r="C53" s="65">
        <v>51.565000138041995</v>
      </c>
      <c r="D53" s="65"/>
      <c r="E53" s="65">
        <v>44.665999999999997</v>
      </c>
      <c r="F53" s="65">
        <v>44.665999999999997</v>
      </c>
      <c r="G53" s="65">
        <v>0</v>
      </c>
      <c r="H53" s="65"/>
      <c r="I53" s="65">
        <v>6.8990001380420001</v>
      </c>
      <c r="J53" s="33">
        <v>5.1510001122920004</v>
      </c>
      <c r="K53" s="33">
        <v>1.7480000257499999</v>
      </c>
      <c r="L53" s="35"/>
      <c r="M53" s="33">
        <v>0</v>
      </c>
      <c r="N53" s="33">
        <v>0</v>
      </c>
      <c r="O53" s="33">
        <v>0</v>
      </c>
    </row>
    <row r="54" spans="2:15" x14ac:dyDescent="0.3">
      <c r="B54" s="80" t="s">
        <v>21</v>
      </c>
      <c r="C54" s="65">
        <v>17415.549154343964</v>
      </c>
      <c r="D54" s="65"/>
      <c r="E54" s="65">
        <v>2033.3590000000002</v>
      </c>
      <c r="F54" s="65">
        <v>1623.97</v>
      </c>
      <c r="G54" s="65">
        <v>409.38900000000007</v>
      </c>
      <c r="H54" s="65"/>
      <c r="I54" s="65">
        <v>2720.9509890701424</v>
      </c>
      <c r="J54" s="33">
        <v>565.21599998979582</v>
      </c>
      <c r="K54" s="33">
        <v>2155.7349890803466</v>
      </c>
      <c r="L54" s="35"/>
      <c r="M54" s="33">
        <v>12661.239165273822</v>
      </c>
      <c r="N54" s="33">
        <v>304.27900207239674</v>
      </c>
      <c r="O54" s="33">
        <v>12356.960163201426</v>
      </c>
    </row>
    <row r="55" spans="2:15" x14ac:dyDescent="0.3">
      <c r="B55" s="80" t="s">
        <v>22</v>
      </c>
      <c r="C55" s="65">
        <v>8244.2328953121432</v>
      </c>
      <c r="D55" s="65"/>
      <c r="E55" s="65">
        <v>1446.2449999999999</v>
      </c>
      <c r="F55" s="65">
        <v>1187.7669999999998</v>
      </c>
      <c r="G55" s="65">
        <v>258.47800000000001</v>
      </c>
      <c r="H55" s="65"/>
      <c r="I55" s="65">
        <v>2002.2579977664318</v>
      </c>
      <c r="J55" s="33">
        <v>21.293999686835996</v>
      </c>
      <c r="K55" s="33">
        <v>1980.9639980795957</v>
      </c>
      <c r="L55" s="35"/>
      <c r="M55" s="33">
        <v>4795.7298975457124</v>
      </c>
      <c r="N55" s="33">
        <v>0.66000002622599996</v>
      </c>
      <c r="O55" s="33">
        <v>4795.0698975194864</v>
      </c>
    </row>
    <row r="56" spans="2:15" x14ac:dyDescent="0.3">
      <c r="B56" s="80" t="s">
        <v>23</v>
      </c>
      <c r="C56" s="65">
        <v>7860.7412306352253</v>
      </c>
      <c r="D56" s="65"/>
      <c r="E56" s="65">
        <v>1312.627</v>
      </c>
      <c r="F56" s="65">
        <v>925.18099999999993</v>
      </c>
      <c r="G56" s="65">
        <v>387.44600000000003</v>
      </c>
      <c r="H56" s="65"/>
      <c r="I56" s="65">
        <v>772.43999722959404</v>
      </c>
      <c r="J56" s="33">
        <v>9.0789999254007014</v>
      </c>
      <c r="K56" s="33">
        <v>763.36099730419335</v>
      </c>
      <c r="L56" s="35"/>
      <c r="M56" s="33">
        <v>5775.6742334056316</v>
      </c>
      <c r="N56" s="33">
        <v>81.156358742923999</v>
      </c>
      <c r="O56" s="33">
        <v>5694.517874662708</v>
      </c>
    </row>
    <row r="57" spans="2:15" x14ac:dyDescent="0.3">
      <c r="B57" s="80" t="s">
        <v>24</v>
      </c>
      <c r="C57" s="65">
        <v>3646.1673276150714</v>
      </c>
      <c r="D57" s="65"/>
      <c r="E57" s="65">
        <v>697.3</v>
      </c>
      <c r="F57" s="65">
        <v>683.25</v>
      </c>
      <c r="G57" s="65">
        <v>14.049999999999999</v>
      </c>
      <c r="H57" s="65"/>
      <c r="I57" s="65">
        <v>743.06299649173195</v>
      </c>
      <c r="J57" s="33">
        <v>48.940999388683004</v>
      </c>
      <c r="K57" s="33">
        <v>694.1219971030489</v>
      </c>
      <c r="L57" s="35"/>
      <c r="M57" s="33">
        <v>2205.8043311233396</v>
      </c>
      <c r="N57" s="33">
        <v>182.15993206579165</v>
      </c>
      <c r="O57" s="33">
        <v>2023.6443990575481</v>
      </c>
    </row>
    <row r="58" spans="2:15" x14ac:dyDescent="0.3">
      <c r="B58" s="80" t="s">
        <v>25</v>
      </c>
      <c r="C58" s="65">
        <v>12021.719932660591</v>
      </c>
      <c r="D58" s="65"/>
      <c r="E58" s="65">
        <v>1781.587</v>
      </c>
      <c r="F58" s="65">
        <v>1061.7629999999999</v>
      </c>
      <c r="G58" s="65">
        <v>719.82399999999996</v>
      </c>
      <c r="H58" s="65"/>
      <c r="I58" s="65">
        <v>1125.1850039273727</v>
      </c>
      <c r="J58" s="33">
        <v>76.608000289641808</v>
      </c>
      <c r="K58" s="33">
        <v>1048.577003637731</v>
      </c>
      <c r="L58" s="35"/>
      <c r="M58" s="33">
        <v>9114.9479287332197</v>
      </c>
      <c r="N58" s="33">
        <v>239.59315551523687</v>
      </c>
      <c r="O58" s="33">
        <v>8875.3547732179832</v>
      </c>
    </row>
    <row r="59" spans="2:15" x14ac:dyDescent="0.3">
      <c r="B59" s="80" t="s">
        <v>26</v>
      </c>
      <c r="C59" s="65">
        <v>8798.2116896130756</v>
      </c>
      <c r="D59" s="65"/>
      <c r="E59" s="65">
        <v>1261.5929999999998</v>
      </c>
      <c r="F59" s="65">
        <v>953.26099999999997</v>
      </c>
      <c r="G59" s="65">
        <v>308.33199999999999</v>
      </c>
      <c r="H59" s="65"/>
      <c r="I59" s="65">
        <v>1929.8197041836972</v>
      </c>
      <c r="J59" s="33">
        <v>105.343000419864</v>
      </c>
      <c r="K59" s="33">
        <v>1824.4767037638333</v>
      </c>
      <c r="L59" s="35"/>
      <c r="M59" s="33">
        <v>5606.7989854293783</v>
      </c>
      <c r="N59" s="33">
        <v>162.46000087263297</v>
      </c>
      <c r="O59" s="33">
        <v>5444.3389845567453</v>
      </c>
    </row>
    <row r="60" spans="2:15" x14ac:dyDescent="0.3">
      <c r="B60" s="80" t="s">
        <v>27</v>
      </c>
      <c r="C60" s="65">
        <v>3197.0473489736905</v>
      </c>
      <c r="D60" s="65"/>
      <c r="E60" s="65">
        <v>468.79200000000003</v>
      </c>
      <c r="F60" s="65">
        <v>450.56400000000002</v>
      </c>
      <c r="G60" s="65">
        <v>18.228000000000002</v>
      </c>
      <c r="H60" s="65"/>
      <c r="I60" s="65">
        <v>672.20485059477744</v>
      </c>
      <c r="J60" s="33">
        <v>206.35485132343419</v>
      </c>
      <c r="K60" s="33">
        <v>465.84999927134322</v>
      </c>
      <c r="L60" s="35"/>
      <c r="M60" s="33">
        <v>2056.0504983789133</v>
      </c>
      <c r="N60" s="33">
        <v>27.550000309939996</v>
      </c>
      <c r="O60" s="33">
        <v>2028.5004980689732</v>
      </c>
    </row>
    <row r="61" spans="2:15" x14ac:dyDescent="0.3">
      <c r="B61" s="80" t="s">
        <v>28</v>
      </c>
      <c r="C61" s="65">
        <v>7603.6382772142742</v>
      </c>
      <c r="D61" s="65"/>
      <c r="E61" s="65">
        <v>1685.049</v>
      </c>
      <c r="F61" s="65">
        <v>1357.7649999999999</v>
      </c>
      <c r="G61" s="65">
        <v>327.28399999999999</v>
      </c>
      <c r="H61" s="65"/>
      <c r="I61" s="65">
        <v>1609.6720100295245</v>
      </c>
      <c r="J61" s="33">
        <v>160.41300186044811</v>
      </c>
      <c r="K61" s="33">
        <v>1449.2590081690764</v>
      </c>
      <c r="L61" s="35"/>
      <c r="M61" s="33">
        <v>4308.91726718475</v>
      </c>
      <c r="N61" s="33">
        <v>154.29928537859098</v>
      </c>
      <c r="O61" s="33">
        <v>4154.6179818061592</v>
      </c>
    </row>
    <row r="62" spans="2:15" x14ac:dyDescent="0.3">
      <c r="B62" s="80" t="s">
        <v>29</v>
      </c>
      <c r="C62" s="65">
        <v>893.55899984039411</v>
      </c>
      <c r="D62" s="65"/>
      <c r="E62" s="65">
        <v>128.87099999999998</v>
      </c>
      <c r="F62" s="65">
        <v>88.611999999999995</v>
      </c>
      <c r="G62" s="65">
        <v>40.259</v>
      </c>
      <c r="H62" s="65"/>
      <c r="I62" s="65">
        <v>320.74699778065502</v>
      </c>
      <c r="J62" s="33">
        <v>97.167001076066001</v>
      </c>
      <c r="K62" s="33">
        <v>223.57999670458904</v>
      </c>
      <c r="L62" s="35"/>
      <c r="M62" s="33">
        <v>443.94100205973911</v>
      </c>
      <c r="N62" s="33">
        <v>19.130000222480099</v>
      </c>
      <c r="O62" s="33">
        <v>424.81100183725903</v>
      </c>
    </row>
    <row r="63" spans="2:15" x14ac:dyDescent="0.3">
      <c r="B63" s="80" t="s">
        <v>30</v>
      </c>
      <c r="C63" s="65">
        <v>2015.0389983015973</v>
      </c>
      <c r="D63" s="65"/>
      <c r="E63" s="65">
        <v>399.27600000000001</v>
      </c>
      <c r="F63" s="65">
        <v>399.27600000000001</v>
      </c>
      <c r="G63" s="65">
        <v>0</v>
      </c>
      <c r="H63" s="65"/>
      <c r="I63" s="65">
        <v>339.97899851575249</v>
      </c>
      <c r="J63" s="33">
        <v>2.3380000591279999</v>
      </c>
      <c r="K63" s="33">
        <v>337.64099845662452</v>
      </c>
      <c r="L63" s="35"/>
      <c r="M63" s="33">
        <v>1275.7839997858448</v>
      </c>
      <c r="N63" s="33">
        <v>6.4050000607950004</v>
      </c>
      <c r="O63" s="33">
        <v>1269.3789997250499</v>
      </c>
    </row>
    <row r="64" spans="2:15" x14ac:dyDescent="0.3">
      <c r="B64" s="80" t="s">
        <v>31</v>
      </c>
      <c r="C64" s="65">
        <v>2931.4153912654492</v>
      </c>
      <c r="D64" s="65"/>
      <c r="E64" s="65">
        <v>470.28500000000003</v>
      </c>
      <c r="F64" s="65">
        <v>470.28500000000003</v>
      </c>
      <c r="G64" s="65">
        <v>0</v>
      </c>
      <c r="H64" s="65"/>
      <c r="I64" s="65">
        <v>905.81100327484535</v>
      </c>
      <c r="J64" s="33">
        <v>128.31500156437821</v>
      </c>
      <c r="K64" s="33">
        <v>777.49600171046711</v>
      </c>
      <c r="L64" s="35"/>
      <c r="M64" s="33">
        <v>1555.3193879906041</v>
      </c>
      <c r="N64" s="33">
        <v>109.61125252052344</v>
      </c>
      <c r="O64" s="33">
        <v>1445.7081354700806</v>
      </c>
    </row>
    <row r="65" spans="2:15" x14ac:dyDescent="0.3">
      <c r="B65" s="80" t="s">
        <v>32</v>
      </c>
      <c r="C65" s="65">
        <v>3597.0789822839711</v>
      </c>
      <c r="D65" s="65"/>
      <c r="E65" s="65">
        <v>588.29499999999996</v>
      </c>
      <c r="F65" s="65">
        <v>367.142</v>
      </c>
      <c r="G65" s="65">
        <v>221.15299999999999</v>
      </c>
      <c r="H65" s="65"/>
      <c r="I65" s="65">
        <v>912.5738737719995</v>
      </c>
      <c r="J65" s="33">
        <v>34.677149740082996</v>
      </c>
      <c r="K65" s="33">
        <v>877.89672403191651</v>
      </c>
      <c r="L65" s="35"/>
      <c r="M65" s="33">
        <v>2096.2101085119716</v>
      </c>
      <c r="N65" s="33">
        <v>13.273904947669999</v>
      </c>
      <c r="O65" s="33">
        <v>2082.9362035643016</v>
      </c>
    </row>
    <row r="66" spans="2:15" x14ac:dyDescent="0.3">
      <c r="B66" s="80" t="s">
        <v>34</v>
      </c>
      <c r="C66" s="65">
        <v>8864.1163546889129</v>
      </c>
      <c r="D66" s="65"/>
      <c r="E66" s="65">
        <v>1731.4680000000001</v>
      </c>
      <c r="F66" s="65">
        <v>1669.7080000000001</v>
      </c>
      <c r="G66" s="65">
        <v>61.760000000000005</v>
      </c>
      <c r="H66" s="65"/>
      <c r="I66" s="65">
        <v>634.3330020373453</v>
      </c>
      <c r="J66" s="33">
        <v>170.04099988377027</v>
      </c>
      <c r="K66" s="33">
        <v>464.29200215357503</v>
      </c>
      <c r="L66" s="35"/>
      <c r="M66" s="33">
        <v>6498.3153526515671</v>
      </c>
      <c r="N66" s="33">
        <v>333.29000106083959</v>
      </c>
      <c r="O66" s="33">
        <v>6165.025351590728</v>
      </c>
    </row>
    <row r="67" spans="2:15" x14ac:dyDescent="0.3">
      <c r="B67" s="80" t="s">
        <v>35</v>
      </c>
      <c r="C67" s="65">
        <v>13596.171010368864</v>
      </c>
      <c r="D67" s="65"/>
      <c r="E67" s="65">
        <v>2018.9490000000001</v>
      </c>
      <c r="F67" s="65">
        <v>1804.0720000000001</v>
      </c>
      <c r="G67" s="65">
        <v>214.87699999999998</v>
      </c>
      <c r="H67" s="65"/>
      <c r="I67" s="65">
        <v>2348.3373343449553</v>
      </c>
      <c r="J67" s="33">
        <v>790.0068443389024</v>
      </c>
      <c r="K67" s="33">
        <v>1558.3304900060527</v>
      </c>
      <c r="L67" s="35"/>
      <c r="M67" s="33">
        <v>9228.8846760239085</v>
      </c>
      <c r="N67" s="33">
        <v>86.301467887170602</v>
      </c>
      <c r="O67" s="33">
        <v>9142.5832081367371</v>
      </c>
    </row>
    <row r="68" spans="2:15" x14ac:dyDescent="0.3">
      <c r="B68" s="80" t="s">
        <v>36</v>
      </c>
      <c r="C68" s="65">
        <v>5442.637660020976</v>
      </c>
      <c r="D68" s="65"/>
      <c r="E68" s="65">
        <v>824.04199999999992</v>
      </c>
      <c r="F68" s="65">
        <v>769.55599999999993</v>
      </c>
      <c r="G68" s="65">
        <v>54.485999999999997</v>
      </c>
      <c r="H68" s="65"/>
      <c r="I68" s="65">
        <v>965.54300210253189</v>
      </c>
      <c r="J68" s="33">
        <v>191.56699976332996</v>
      </c>
      <c r="K68" s="33">
        <v>773.97600233920195</v>
      </c>
      <c r="L68" s="35"/>
      <c r="M68" s="39">
        <v>3653.0526579184443</v>
      </c>
      <c r="N68" s="33">
        <v>2.4811180281008003</v>
      </c>
      <c r="O68" s="33">
        <v>3650.5715398903435</v>
      </c>
    </row>
    <row r="69" spans="2:15" x14ac:dyDescent="0.3">
      <c r="B69" s="80" t="s">
        <v>37</v>
      </c>
      <c r="C69" s="65">
        <v>2643.0962731984519</v>
      </c>
      <c r="D69" s="65"/>
      <c r="E69" s="65">
        <v>631.053</v>
      </c>
      <c r="F69" s="65">
        <v>580.05899999999997</v>
      </c>
      <c r="G69" s="65">
        <v>50.993999999999993</v>
      </c>
      <c r="H69" s="65"/>
      <c r="I69" s="65">
        <v>489.70400172482209</v>
      </c>
      <c r="J69" s="33">
        <v>85.003000736230007</v>
      </c>
      <c r="K69" s="33">
        <v>404.70100098859206</v>
      </c>
      <c r="L69" s="35"/>
      <c r="M69" s="39">
        <v>1522.3392714736294</v>
      </c>
      <c r="N69" s="33">
        <v>184.2100045869966</v>
      </c>
      <c r="O69" s="33">
        <v>1338.1292668866329</v>
      </c>
    </row>
    <row r="70" spans="2:15" x14ac:dyDescent="0.3">
      <c r="B70" s="80" t="s">
        <v>38</v>
      </c>
      <c r="C70" s="65">
        <v>993.29499595839502</v>
      </c>
      <c r="D70" s="65"/>
      <c r="E70" s="65">
        <v>138.47399999999999</v>
      </c>
      <c r="F70" s="65">
        <v>138.47399999999999</v>
      </c>
      <c r="G70" s="65">
        <v>0</v>
      </c>
      <c r="H70" s="65"/>
      <c r="I70" s="65">
        <v>287.49799814827998</v>
      </c>
      <c r="J70" s="33">
        <v>71.736001461784994</v>
      </c>
      <c r="K70" s="33">
        <v>215.761996686495</v>
      </c>
      <c r="L70" s="35"/>
      <c r="M70" s="39">
        <v>567.322997810115</v>
      </c>
      <c r="N70" s="33">
        <v>9.3299997933260013</v>
      </c>
      <c r="O70" s="33">
        <v>557.99299801678899</v>
      </c>
    </row>
    <row r="71" spans="2:15" ht="17.25" thickBot="1" x14ac:dyDescent="0.35">
      <c r="B71" s="81" t="s">
        <v>39</v>
      </c>
      <c r="C71" s="42">
        <v>2508.3543057412221</v>
      </c>
      <c r="D71" s="42"/>
      <c r="E71" s="42">
        <v>326.52</v>
      </c>
      <c r="F71" s="42">
        <v>222.97</v>
      </c>
      <c r="G71" s="42">
        <v>103.54999999999998</v>
      </c>
      <c r="H71" s="42"/>
      <c r="I71" s="42">
        <v>1286.6423072259599</v>
      </c>
      <c r="J71" s="42">
        <v>5.5460000038099997</v>
      </c>
      <c r="K71" s="42">
        <v>1281.09630722215</v>
      </c>
      <c r="L71" s="42"/>
      <c r="M71" s="42">
        <v>895.19199851526207</v>
      </c>
      <c r="N71" s="42">
        <v>2.3200000375520005</v>
      </c>
      <c r="O71" s="42">
        <v>892.87199847771012</v>
      </c>
    </row>
    <row r="72" spans="2:15" s="44" customFormat="1" ht="13.5" x14ac:dyDescent="0.25">
      <c r="B72" s="152" t="s">
        <v>60</v>
      </c>
      <c r="C72" s="152"/>
      <c r="D72" s="152"/>
      <c r="E72" s="152"/>
      <c r="F72" s="152"/>
      <c r="G72" s="152"/>
      <c r="H72" s="152"/>
      <c r="I72" s="152"/>
      <c r="J72" s="152"/>
      <c r="K72" s="152"/>
      <c r="L72" s="152"/>
      <c r="M72" s="152"/>
      <c r="N72" s="152"/>
      <c r="O72" s="152"/>
    </row>
    <row r="73" spans="2:15" s="44" customFormat="1" ht="13.5" x14ac:dyDescent="0.25">
      <c r="B73" s="155" t="s">
        <v>80</v>
      </c>
      <c r="C73" s="155"/>
      <c r="D73" s="155"/>
      <c r="E73" s="155"/>
      <c r="F73" s="155"/>
      <c r="G73" s="155"/>
      <c r="H73" s="155"/>
      <c r="I73" s="155"/>
      <c r="J73" s="155"/>
      <c r="K73" s="155"/>
      <c r="L73" s="155"/>
      <c r="M73" s="155"/>
      <c r="N73" s="155"/>
      <c r="O73" s="155"/>
    </row>
    <row r="74" spans="2:15" s="44" customFormat="1" ht="13.5" x14ac:dyDescent="0.25">
      <c r="B74" s="16" t="s">
        <v>126</v>
      </c>
      <c r="C74" s="90"/>
      <c r="D74" s="90"/>
      <c r="E74" s="90"/>
      <c r="F74" s="90"/>
      <c r="G74" s="90"/>
      <c r="H74" s="90"/>
      <c r="I74" s="90"/>
      <c r="J74" s="90"/>
      <c r="K74" s="90"/>
      <c r="L74" s="90"/>
      <c r="M74" s="90"/>
      <c r="N74" s="90"/>
      <c r="O74" s="90"/>
    </row>
    <row r="75" spans="2:15" s="44" customFormat="1" ht="13.5" x14ac:dyDescent="0.25">
      <c r="B75" s="16" t="s">
        <v>43</v>
      </c>
      <c r="C75" s="90"/>
      <c r="D75" s="90"/>
      <c r="E75" s="90"/>
      <c r="F75" s="90"/>
      <c r="G75" s="90"/>
      <c r="H75" s="90"/>
      <c r="I75" s="90"/>
      <c r="J75" s="90"/>
      <c r="K75" s="90"/>
      <c r="L75" s="90"/>
      <c r="M75" s="90"/>
      <c r="N75" s="90"/>
      <c r="O75" s="90"/>
    </row>
  </sheetData>
  <mergeCells count="19">
    <mergeCell ref="B72:O72"/>
    <mergeCell ref="B73:O73"/>
    <mergeCell ref="B40:O40"/>
    <mergeCell ref="B41:O41"/>
    <mergeCell ref="B44:B45"/>
    <mergeCell ref="C44:C45"/>
    <mergeCell ref="E44:G44"/>
    <mergeCell ref="I44:K44"/>
    <mergeCell ref="M44:O44"/>
    <mergeCell ref="B6:O6"/>
    <mergeCell ref="B3:O3"/>
    <mergeCell ref="B4:O4"/>
    <mergeCell ref="B35:O35"/>
    <mergeCell ref="B36:O36"/>
    <mergeCell ref="B7:B8"/>
    <mergeCell ref="C7:C8"/>
    <mergeCell ref="E7:G7"/>
    <mergeCell ref="I7:K7"/>
    <mergeCell ref="M7:O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5"/>
  <sheetViews>
    <sheetView topLeftCell="A52" zoomScale="80" zoomScaleNormal="80" zoomScalePageLayoutView="85" workbookViewId="0">
      <selection activeCell="K83" sqref="K83"/>
    </sheetView>
  </sheetViews>
  <sheetFormatPr baseColWidth="10" defaultColWidth="11.42578125" defaultRowHeight="16.5" x14ac:dyDescent="0.3"/>
  <cols>
    <col min="1" max="1" width="7.140625" style="1" customWidth="1"/>
    <col min="2" max="2" width="17.28515625" style="1" customWidth="1"/>
    <col min="3" max="3" width="13.42578125" style="1" customWidth="1"/>
    <col min="4" max="4" width="4.28515625" style="1" customWidth="1"/>
    <col min="5" max="5" width="12.140625" style="1" customWidth="1"/>
    <col min="6" max="6" width="15.42578125" style="1" customWidth="1"/>
    <col min="7" max="7" width="19.7109375" style="1" customWidth="1"/>
    <col min="8" max="8" width="5.28515625" style="1" customWidth="1"/>
    <col min="9" max="9" width="11.42578125" style="1"/>
    <col min="10" max="10" width="13.85546875" style="1" customWidth="1"/>
    <col min="11" max="11" width="18.42578125" style="1" customWidth="1"/>
    <col min="12" max="12" width="5.7109375" style="1" customWidth="1"/>
    <col min="13" max="13" width="14" style="1" customWidth="1"/>
    <col min="14" max="14" width="16" style="1" customWidth="1"/>
    <col min="15" max="15" width="19" style="1" customWidth="1"/>
    <col min="16" max="16" width="7.42578125" style="1" customWidth="1"/>
    <col min="17" max="16384" width="11.42578125" style="1"/>
  </cols>
  <sheetData>
    <row r="1" spans="1:16" s="76" customFormat="1" x14ac:dyDescent="0.3"/>
    <row r="3" spans="1:16" s="82" customFormat="1" ht="15.75" x14ac:dyDescent="0.25">
      <c r="B3" s="145" t="s">
        <v>136</v>
      </c>
      <c r="C3" s="145"/>
      <c r="D3" s="145"/>
      <c r="E3" s="145"/>
      <c r="F3" s="145"/>
      <c r="G3" s="145"/>
      <c r="H3" s="145"/>
      <c r="I3" s="145"/>
      <c r="J3" s="145"/>
      <c r="K3" s="145"/>
      <c r="L3" s="145"/>
      <c r="M3" s="145"/>
      <c r="N3" s="145"/>
      <c r="O3" s="145"/>
    </row>
    <row r="4" spans="1:16" ht="16.5" customHeight="1" x14ac:dyDescent="0.3">
      <c r="B4" s="146" t="s">
        <v>127</v>
      </c>
      <c r="C4" s="146"/>
      <c r="D4" s="146"/>
      <c r="E4" s="146"/>
      <c r="F4" s="146"/>
      <c r="G4" s="146"/>
      <c r="H4" s="146"/>
      <c r="I4" s="146"/>
      <c r="J4" s="146"/>
      <c r="K4" s="146"/>
      <c r="L4" s="146"/>
      <c r="M4" s="146"/>
      <c r="N4" s="146"/>
      <c r="O4" s="146"/>
      <c r="P4" s="91"/>
    </row>
    <row r="5" spans="1:16" x14ac:dyDescent="0.3">
      <c r="O5" s="59"/>
    </row>
    <row r="6" spans="1:16" ht="17.25" customHeight="1" thickBot="1" x14ac:dyDescent="0.35">
      <c r="B6" s="144" t="s">
        <v>2</v>
      </c>
      <c r="C6" s="144"/>
      <c r="D6" s="144"/>
      <c r="E6" s="144"/>
      <c r="F6" s="144"/>
      <c r="G6" s="144"/>
      <c r="H6" s="144"/>
      <c r="I6" s="144"/>
      <c r="J6" s="144"/>
      <c r="K6" s="144"/>
      <c r="L6" s="144"/>
      <c r="M6" s="144"/>
      <c r="N6" s="144"/>
      <c r="O6" s="144"/>
    </row>
    <row r="7" spans="1:16" ht="21.75" customHeight="1" x14ac:dyDescent="0.3">
      <c r="B7" s="147" t="s">
        <v>3</v>
      </c>
      <c r="C7" s="149" t="s">
        <v>4</v>
      </c>
      <c r="D7" s="54"/>
      <c r="E7" s="151" t="s">
        <v>5</v>
      </c>
      <c r="F7" s="151"/>
      <c r="G7" s="151"/>
      <c r="H7" s="3"/>
      <c r="I7" s="147" t="s">
        <v>6</v>
      </c>
      <c r="J7" s="147"/>
      <c r="K7" s="147"/>
      <c r="L7" s="3"/>
      <c r="M7" s="147" t="s">
        <v>7</v>
      </c>
      <c r="N7" s="147"/>
      <c r="O7" s="147"/>
    </row>
    <row r="8" spans="1:16" ht="17.25" thickBot="1" x14ac:dyDescent="0.35">
      <c r="B8" s="148"/>
      <c r="C8" s="150"/>
      <c r="D8" s="5"/>
      <c r="E8" s="4" t="s">
        <v>8</v>
      </c>
      <c r="F8" s="4" t="s">
        <v>9</v>
      </c>
      <c r="G8" s="4" t="s">
        <v>10</v>
      </c>
      <c r="H8" s="5"/>
      <c r="I8" s="4" t="s">
        <v>11</v>
      </c>
      <c r="J8" s="4" t="s">
        <v>12</v>
      </c>
      <c r="K8" s="4" t="s">
        <v>10</v>
      </c>
      <c r="L8" s="5"/>
      <c r="M8" s="4" t="s">
        <v>11</v>
      </c>
      <c r="N8" s="4" t="s">
        <v>12</v>
      </c>
      <c r="O8" s="4" t="s">
        <v>10</v>
      </c>
    </row>
    <row r="9" spans="1:16" ht="20.25" customHeight="1" x14ac:dyDescent="0.3">
      <c r="B9" s="92" t="s">
        <v>13</v>
      </c>
      <c r="C9" s="93">
        <v>173611.26395553641</v>
      </c>
      <c r="D9" s="93"/>
      <c r="E9" s="93">
        <v>27108.713600078809</v>
      </c>
      <c r="F9" s="93">
        <v>22671.504600078806</v>
      </c>
      <c r="G9" s="93">
        <v>4437.2090000000007</v>
      </c>
      <c r="H9" s="93"/>
      <c r="I9" s="93">
        <v>27962.76223643027</v>
      </c>
      <c r="J9" s="93">
        <v>4742.7498766158833</v>
      </c>
      <c r="K9" s="93">
        <v>23220.012359814391</v>
      </c>
      <c r="L9" s="93"/>
      <c r="M9" s="93">
        <v>118539.78811902726</v>
      </c>
      <c r="N9" s="93">
        <v>2794.6076278049909</v>
      </c>
      <c r="O9" s="93">
        <v>115745.18049122229</v>
      </c>
    </row>
    <row r="10" spans="1:16" s="68" customFormat="1" ht="13.5" customHeight="1" x14ac:dyDescent="0.25">
      <c r="A10" s="79"/>
      <c r="B10" s="11" t="s">
        <v>14</v>
      </c>
      <c r="C10" s="65">
        <v>3520.6489536310601</v>
      </c>
      <c r="D10" s="65"/>
      <c r="E10" s="65">
        <v>862.95199999999988</v>
      </c>
      <c r="F10" s="65">
        <v>848.74699999999984</v>
      </c>
      <c r="G10" s="65">
        <v>14.205000000000002</v>
      </c>
      <c r="H10" s="65"/>
      <c r="I10" s="65">
        <v>880.08755687516202</v>
      </c>
      <c r="J10" s="33">
        <v>30.567000053054997</v>
      </c>
      <c r="K10" s="33">
        <v>849.52055682210698</v>
      </c>
      <c r="L10" s="35"/>
      <c r="M10" s="33">
        <v>1777.6093967558984</v>
      </c>
      <c r="N10" s="33">
        <v>0</v>
      </c>
      <c r="O10" s="33">
        <v>1777.6093967558984</v>
      </c>
      <c r="P10" s="56"/>
    </row>
    <row r="11" spans="1:16" s="68" customFormat="1" ht="13.5" customHeight="1" x14ac:dyDescent="0.25">
      <c r="A11" s="79"/>
      <c r="B11" s="7" t="s">
        <v>15</v>
      </c>
      <c r="C11" s="65">
        <v>10758.403905416699</v>
      </c>
      <c r="D11" s="65"/>
      <c r="E11" s="65">
        <v>1880.0539999999996</v>
      </c>
      <c r="F11" s="65">
        <v>1433.8929999999996</v>
      </c>
      <c r="G11" s="65">
        <v>446.16100000000006</v>
      </c>
      <c r="H11" s="65"/>
      <c r="I11" s="65">
        <v>1223.0469956508266</v>
      </c>
      <c r="J11" s="33">
        <v>526.661998130283</v>
      </c>
      <c r="K11" s="33">
        <v>696.38499752054361</v>
      </c>
      <c r="L11" s="35"/>
      <c r="M11" s="33">
        <v>7655.3029097658728</v>
      </c>
      <c r="N11" s="33">
        <v>116.13824882476895</v>
      </c>
      <c r="O11" s="33">
        <v>7539.1646609411036</v>
      </c>
      <c r="P11" s="56"/>
    </row>
    <row r="12" spans="1:16" s="68" customFormat="1" ht="13.5" customHeight="1" x14ac:dyDescent="0.25">
      <c r="A12" s="79"/>
      <c r="B12" s="7" t="s">
        <v>16</v>
      </c>
      <c r="C12" s="65">
        <v>8135.1027977557123</v>
      </c>
      <c r="D12" s="65"/>
      <c r="E12" s="65">
        <v>1283.575</v>
      </c>
      <c r="F12" s="65">
        <v>1048.7619999999999</v>
      </c>
      <c r="G12" s="65">
        <v>234.81300000000002</v>
      </c>
      <c r="H12" s="65"/>
      <c r="I12" s="65">
        <v>1290.9650009467175</v>
      </c>
      <c r="J12" s="33">
        <v>9.0519999638205011</v>
      </c>
      <c r="K12" s="33">
        <v>1281.9130009828971</v>
      </c>
      <c r="L12" s="35"/>
      <c r="M12" s="33">
        <v>5560.5627968089948</v>
      </c>
      <c r="N12" s="33">
        <v>11.299321528018</v>
      </c>
      <c r="O12" s="33">
        <v>5549.2634752809772</v>
      </c>
      <c r="P12" s="56"/>
    </row>
    <row r="13" spans="1:16" s="68" customFormat="1" ht="13.5" customHeight="1" x14ac:dyDescent="0.25">
      <c r="A13" s="79"/>
      <c r="B13" s="7" t="s">
        <v>17</v>
      </c>
      <c r="C13" s="65">
        <v>10231.053287428373</v>
      </c>
      <c r="D13" s="65"/>
      <c r="E13" s="65">
        <v>1494.4439999999995</v>
      </c>
      <c r="F13" s="65">
        <v>1219.5319999999995</v>
      </c>
      <c r="G13" s="65">
        <v>274.91199999999998</v>
      </c>
      <c r="H13" s="65"/>
      <c r="I13" s="65">
        <v>1736.1285392192933</v>
      </c>
      <c r="J13" s="33">
        <v>974.47554144352512</v>
      </c>
      <c r="K13" s="33">
        <v>761.6529977757682</v>
      </c>
      <c r="L13" s="35"/>
      <c r="M13" s="33">
        <v>7000.48074820908</v>
      </c>
      <c r="N13" s="33">
        <v>587.83057291767318</v>
      </c>
      <c r="O13" s="33">
        <v>6412.6501752914064</v>
      </c>
      <c r="P13" s="56"/>
    </row>
    <row r="14" spans="1:16" s="68" customFormat="1" ht="13.5" customHeight="1" x14ac:dyDescent="0.25">
      <c r="A14" s="79"/>
      <c r="B14" s="7" t="s">
        <v>18</v>
      </c>
      <c r="C14" s="65">
        <v>12578.439885222764</v>
      </c>
      <c r="D14" s="65"/>
      <c r="E14" s="65">
        <v>1801.7720000000004</v>
      </c>
      <c r="F14" s="65">
        <v>1727.8980000000004</v>
      </c>
      <c r="G14" s="65">
        <v>73.874000000000009</v>
      </c>
      <c r="H14" s="65"/>
      <c r="I14" s="65">
        <v>1861.8539109252908</v>
      </c>
      <c r="J14" s="33">
        <v>314.40385377425406</v>
      </c>
      <c r="K14" s="33">
        <v>1547.4500571510368</v>
      </c>
      <c r="L14" s="35"/>
      <c r="M14" s="33">
        <v>8914.8139742974727</v>
      </c>
      <c r="N14" s="33">
        <v>104.75629841904997</v>
      </c>
      <c r="O14" s="33">
        <v>8810.0576758784227</v>
      </c>
      <c r="P14" s="56"/>
    </row>
    <row r="15" spans="1:16" s="68" customFormat="1" ht="13.5" customHeight="1" x14ac:dyDescent="0.25">
      <c r="A15" s="79"/>
      <c r="B15" s="7" t="s">
        <v>19</v>
      </c>
      <c r="C15" s="65">
        <v>15632.324414846091</v>
      </c>
      <c r="D15" s="65"/>
      <c r="E15" s="65">
        <v>1745.2526000199989</v>
      </c>
      <c r="F15" s="65">
        <v>1528.5206000199989</v>
      </c>
      <c r="G15" s="65">
        <v>216.73199999999997</v>
      </c>
      <c r="H15" s="65"/>
      <c r="I15" s="65">
        <v>919.6226349286917</v>
      </c>
      <c r="J15" s="33">
        <v>31.778999543666</v>
      </c>
      <c r="K15" s="33">
        <v>887.84363538502566</v>
      </c>
      <c r="L15" s="35"/>
      <c r="M15" s="33">
        <v>12967.449179897401</v>
      </c>
      <c r="N15" s="33">
        <v>69.694373532675399</v>
      </c>
      <c r="O15" s="33">
        <v>12897.754806364726</v>
      </c>
      <c r="P15" s="56"/>
    </row>
    <row r="16" spans="1:16" s="68" customFormat="1" ht="13.5" customHeight="1" x14ac:dyDescent="0.25">
      <c r="A16" s="67"/>
      <c r="B16" s="7" t="s">
        <v>20</v>
      </c>
      <c r="C16" s="65">
        <v>51.472000085592008</v>
      </c>
      <c r="D16" s="65"/>
      <c r="E16" s="65">
        <v>44.573000000000008</v>
      </c>
      <c r="F16" s="65">
        <v>44.573000000000008</v>
      </c>
      <c r="G16" s="65">
        <v>0</v>
      </c>
      <c r="H16" s="65"/>
      <c r="I16" s="65">
        <v>6.8990000855920002</v>
      </c>
      <c r="J16" s="33">
        <v>5.1510000598420005</v>
      </c>
      <c r="K16" s="33">
        <v>1.7480000257499999</v>
      </c>
      <c r="L16" s="35"/>
      <c r="M16" s="33">
        <v>0</v>
      </c>
      <c r="N16" s="33">
        <v>0</v>
      </c>
      <c r="O16" s="33">
        <v>0</v>
      </c>
      <c r="P16" s="56"/>
    </row>
    <row r="17" spans="1:16" s="68" customFormat="1" ht="13.5" customHeight="1" x14ac:dyDescent="0.25">
      <c r="A17" s="79"/>
      <c r="B17" s="7" t="s">
        <v>21</v>
      </c>
      <c r="C17" s="65">
        <v>17430.616535343459</v>
      </c>
      <c r="D17" s="65"/>
      <c r="E17" s="65">
        <v>2019.8559999999995</v>
      </c>
      <c r="F17" s="65">
        <v>1658.1319999999996</v>
      </c>
      <c r="G17" s="65">
        <v>361.72399999999999</v>
      </c>
      <c r="H17" s="65"/>
      <c r="I17" s="65">
        <v>2739.1859884434416</v>
      </c>
      <c r="J17" s="33">
        <v>565.21599998979559</v>
      </c>
      <c r="K17" s="33">
        <v>2173.9699884536458</v>
      </c>
      <c r="L17" s="35"/>
      <c r="M17" s="33">
        <v>12671.574546900018</v>
      </c>
      <c r="N17" s="33">
        <v>304.08900207478069</v>
      </c>
      <c r="O17" s="33">
        <v>12367.485544825237</v>
      </c>
      <c r="P17" s="56"/>
    </row>
    <row r="18" spans="1:16" s="68" customFormat="1" ht="13.5" customHeight="1" x14ac:dyDescent="0.25">
      <c r="A18" s="79"/>
      <c r="B18" s="7" t="s">
        <v>22</v>
      </c>
      <c r="C18" s="65">
        <v>8249.9028947331608</v>
      </c>
      <c r="D18" s="65"/>
      <c r="E18" s="65">
        <v>1443.7419999999995</v>
      </c>
      <c r="F18" s="65">
        <v>1190.2509999999995</v>
      </c>
      <c r="G18" s="65">
        <v>253.49099999999999</v>
      </c>
      <c r="H18" s="65"/>
      <c r="I18" s="65">
        <v>1996.6759972634916</v>
      </c>
      <c r="J18" s="33">
        <v>19.521999713032699</v>
      </c>
      <c r="K18" s="33">
        <v>1977.1539975504588</v>
      </c>
      <c r="L18" s="35"/>
      <c r="M18" s="33">
        <v>4809.4848974696706</v>
      </c>
      <c r="N18" s="33">
        <v>0.66000002622599996</v>
      </c>
      <c r="O18" s="33">
        <v>4808.8248974434446</v>
      </c>
      <c r="P18" s="56"/>
    </row>
    <row r="19" spans="1:16" s="68" customFormat="1" ht="13.5" customHeight="1" x14ac:dyDescent="0.25">
      <c r="A19" s="79"/>
      <c r="B19" s="7" t="s">
        <v>23</v>
      </c>
      <c r="C19" s="65">
        <v>7884.7003155955399</v>
      </c>
      <c r="D19" s="65"/>
      <c r="E19" s="65">
        <v>1325.027</v>
      </c>
      <c r="F19" s="65">
        <v>929.59699999999987</v>
      </c>
      <c r="G19" s="65">
        <v>395.43000000000006</v>
      </c>
      <c r="H19" s="65"/>
      <c r="I19" s="65">
        <v>772.43999722959404</v>
      </c>
      <c r="J19" s="33">
        <v>9.0789999254006997</v>
      </c>
      <c r="K19" s="33">
        <v>763.36099730419335</v>
      </c>
      <c r="L19" s="35"/>
      <c r="M19" s="33">
        <v>5787.2333183659457</v>
      </c>
      <c r="N19" s="33">
        <v>81.156358742923999</v>
      </c>
      <c r="O19" s="33">
        <v>5706.076959623022</v>
      </c>
      <c r="P19" s="56"/>
    </row>
    <row r="20" spans="1:16" s="68" customFormat="1" ht="13.5" customHeight="1" x14ac:dyDescent="0.25">
      <c r="A20" s="79"/>
      <c r="B20" s="7" t="s">
        <v>24</v>
      </c>
      <c r="C20" s="65">
        <v>3658.8285120253668</v>
      </c>
      <c r="D20" s="65"/>
      <c r="E20" s="65">
        <v>697.74</v>
      </c>
      <c r="F20" s="65">
        <v>683.69</v>
      </c>
      <c r="G20" s="65">
        <v>14.049999999999999</v>
      </c>
      <c r="H20" s="65"/>
      <c r="I20" s="65">
        <v>703.18241436271182</v>
      </c>
      <c r="J20" s="33">
        <v>48.940999388683004</v>
      </c>
      <c r="K20" s="33">
        <v>654.24141497402877</v>
      </c>
      <c r="L20" s="35"/>
      <c r="M20" s="33">
        <v>2257.9060976626547</v>
      </c>
      <c r="N20" s="33">
        <v>178.41558534798867</v>
      </c>
      <c r="O20" s="33">
        <v>2079.4905123146659</v>
      </c>
      <c r="P20" s="56"/>
    </row>
    <row r="21" spans="1:16" s="68" customFormat="1" ht="13.5" customHeight="1" x14ac:dyDescent="0.25">
      <c r="A21" s="79"/>
      <c r="B21" s="7" t="s">
        <v>25</v>
      </c>
      <c r="C21" s="65">
        <v>12067.182054131881</v>
      </c>
      <c r="D21" s="65"/>
      <c r="E21" s="65">
        <v>1788.3549999999998</v>
      </c>
      <c r="F21" s="65">
        <v>1073.1409999999998</v>
      </c>
      <c r="G21" s="65">
        <v>715.21399999999994</v>
      </c>
      <c r="H21" s="65"/>
      <c r="I21" s="65">
        <v>1125.1709911324026</v>
      </c>
      <c r="J21" s="33">
        <v>76.60803973759181</v>
      </c>
      <c r="K21" s="33">
        <v>1048.5629513948109</v>
      </c>
      <c r="L21" s="35"/>
      <c r="M21" s="33">
        <v>9153.6560629994783</v>
      </c>
      <c r="N21" s="33">
        <v>239.55674330410426</v>
      </c>
      <c r="O21" s="33">
        <v>8914.0993196953732</v>
      </c>
      <c r="P21" s="56"/>
    </row>
    <row r="22" spans="1:16" s="68" customFormat="1" ht="13.5" customHeight="1" x14ac:dyDescent="0.25">
      <c r="A22" s="79"/>
      <c r="B22" s="7" t="s">
        <v>26</v>
      </c>
      <c r="C22" s="65">
        <v>8871.7469315225135</v>
      </c>
      <c r="D22" s="65"/>
      <c r="E22" s="65">
        <v>1333.8830000000003</v>
      </c>
      <c r="F22" s="65">
        <v>949.8420000000001</v>
      </c>
      <c r="G22" s="65">
        <v>384.04100000000005</v>
      </c>
      <c r="H22" s="65"/>
      <c r="I22" s="65">
        <v>1932.6299457569673</v>
      </c>
      <c r="J22" s="33">
        <v>105.343000419864</v>
      </c>
      <c r="K22" s="33">
        <v>1827.2869453371034</v>
      </c>
      <c r="L22" s="35"/>
      <c r="M22" s="33">
        <v>5605.2339857655452</v>
      </c>
      <c r="N22" s="33">
        <v>161.90000087024896</v>
      </c>
      <c r="O22" s="33">
        <v>5443.3339848952965</v>
      </c>
      <c r="P22" s="56"/>
    </row>
    <row r="23" spans="1:16" s="68" customFormat="1" ht="13.5" customHeight="1" x14ac:dyDescent="0.25">
      <c r="A23" s="79"/>
      <c r="B23" s="7" t="s">
        <v>27</v>
      </c>
      <c r="C23" s="65">
        <v>3196.7173490559608</v>
      </c>
      <c r="D23" s="65"/>
      <c r="E23" s="65">
        <v>468.79200000000003</v>
      </c>
      <c r="F23" s="65">
        <v>450.56400000000002</v>
      </c>
      <c r="G23" s="65">
        <v>18.228000000000002</v>
      </c>
      <c r="H23" s="65"/>
      <c r="I23" s="65">
        <v>672.20485074737746</v>
      </c>
      <c r="J23" s="33">
        <v>206.35485132343419</v>
      </c>
      <c r="K23" s="33">
        <v>465.84999942394325</v>
      </c>
      <c r="L23" s="35"/>
      <c r="M23" s="33">
        <v>2055.720498308583</v>
      </c>
      <c r="N23" s="33">
        <v>27.550000309939996</v>
      </c>
      <c r="O23" s="33">
        <v>2028.170497998643</v>
      </c>
      <c r="P23" s="56"/>
    </row>
    <row r="24" spans="1:16" s="68" customFormat="1" ht="13.5" customHeight="1" x14ac:dyDescent="0.25">
      <c r="A24" s="79"/>
      <c r="B24" s="7" t="s">
        <v>28</v>
      </c>
      <c r="C24" s="65">
        <v>7612.0182749611622</v>
      </c>
      <c r="D24" s="65"/>
      <c r="E24" s="65">
        <v>1685.0389999988129</v>
      </c>
      <c r="F24" s="65">
        <v>1372.5669999988129</v>
      </c>
      <c r="G24" s="65">
        <v>312.47200000000004</v>
      </c>
      <c r="H24" s="65"/>
      <c r="I24" s="65">
        <v>1609.6720100295242</v>
      </c>
      <c r="J24" s="33">
        <v>160.41300186044808</v>
      </c>
      <c r="K24" s="33">
        <v>1449.2590081690762</v>
      </c>
      <c r="L24" s="35"/>
      <c r="M24" s="33">
        <v>4317.3072649328251</v>
      </c>
      <c r="N24" s="33">
        <v>154.29928530229097</v>
      </c>
      <c r="O24" s="33">
        <v>4163.0079796305345</v>
      </c>
      <c r="P24" s="56"/>
    </row>
    <row r="25" spans="1:16" s="68" customFormat="1" ht="13.5" customHeight="1" x14ac:dyDescent="0.25">
      <c r="A25" s="79"/>
      <c r="B25" s="7" t="s">
        <v>29</v>
      </c>
      <c r="C25" s="65">
        <v>901.13799993194414</v>
      </c>
      <c r="D25" s="65"/>
      <c r="E25" s="65">
        <v>128.87099999999998</v>
      </c>
      <c r="F25" s="65">
        <v>88.611999999999995</v>
      </c>
      <c r="G25" s="65">
        <v>40.259</v>
      </c>
      <c r="H25" s="65"/>
      <c r="I25" s="65">
        <v>320.74699778065502</v>
      </c>
      <c r="J25" s="33">
        <v>97.167001076066001</v>
      </c>
      <c r="K25" s="33">
        <v>223.57999670458904</v>
      </c>
      <c r="L25" s="35"/>
      <c r="M25" s="33">
        <v>451.52000215128913</v>
      </c>
      <c r="N25" s="33">
        <v>19.130000222480099</v>
      </c>
      <c r="O25" s="33">
        <v>432.39000192880906</v>
      </c>
      <c r="P25" s="56"/>
    </row>
    <row r="26" spans="1:16" s="68" customFormat="1" ht="13.5" customHeight="1" x14ac:dyDescent="0.25">
      <c r="A26" s="79"/>
      <c r="B26" s="7" t="s">
        <v>30</v>
      </c>
      <c r="C26" s="65">
        <v>2015.1939983015973</v>
      </c>
      <c r="D26" s="65"/>
      <c r="E26" s="65">
        <v>399.43099999999993</v>
      </c>
      <c r="F26" s="65">
        <v>399.43099999999993</v>
      </c>
      <c r="G26" s="65">
        <v>0</v>
      </c>
      <c r="H26" s="65"/>
      <c r="I26" s="65">
        <v>339.97899851575249</v>
      </c>
      <c r="J26" s="33">
        <v>2.3380000591279999</v>
      </c>
      <c r="K26" s="33">
        <v>337.64099845662452</v>
      </c>
      <c r="L26" s="35"/>
      <c r="M26" s="33">
        <v>1275.7839997858448</v>
      </c>
      <c r="N26" s="33">
        <v>6.4050000607950004</v>
      </c>
      <c r="O26" s="33">
        <v>1269.3789997250499</v>
      </c>
      <c r="P26" s="56"/>
    </row>
    <row r="27" spans="1:16" s="68" customFormat="1" ht="13.5" customHeight="1" x14ac:dyDescent="0.25">
      <c r="A27" s="79"/>
      <c r="B27" s="7" t="s">
        <v>31</v>
      </c>
      <c r="C27" s="65">
        <v>2930.0976793835871</v>
      </c>
      <c r="D27" s="65"/>
      <c r="E27" s="65">
        <v>470.28500000000014</v>
      </c>
      <c r="F27" s="65">
        <v>470.28500000000014</v>
      </c>
      <c r="G27" s="65">
        <v>0</v>
      </c>
      <c r="H27" s="65"/>
      <c r="I27" s="65">
        <v>904.36820305684432</v>
      </c>
      <c r="J27" s="33">
        <v>128.11720167828722</v>
      </c>
      <c r="K27" s="33">
        <v>776.25100137855713</v>
      </c>
      <c r="L27" s="35"/>
      <c r="M27" s="33">
        <v>1555.4444763267425</v>
      </c>
      <c r="N27" s="33">
        <v>109.61034013196178</v>
      </c>
      <c r="O27" s="33">
        <v>1445.8341361947807</v>
      </c>
      <c r="P27" s="56"/>
    </row>
    <row r="28" spans="1:16" s="68" customFormat="1" ht="13.5" customHeight="1" x14ac:dyDescent="0.25">
      <c r="A28" s="79"/>
      <c r="B28" s="7" t="s">
        <v>32</v>
      </c>
      <c r="C28" s="65">
        <v>3594.2579832315118</v>
      </c>
      <c r="D28" s="65"/>
      <c r="E28" s="65">
        <v>579.21900000000005</v>
      </c>
      <c r="F28" s="65">
        <v>374.767</v>
      </c>
      <c r="G28" s="65">
        <v>204.452</v>
      </c>
      <c r="H28" s="65"/>
      <c r="I28" s="65">
        <v>912.57387379106967</v>
      </c>
      <c r="J28" s="33">
        <v>34.677149740082996</v>
      </c>
      <c r="K28" s="33">
        <v>877.89672405098668</v>
      </c>
      <c r="L28" s="35"/>
      <c r="M28" s="33">
        <v>2102.4651094404421</v>
      </c>
      <c r="N28" s="33">
        <v>13.273904947669999</v>
      </c>
      <c r="O28" s="33">
        <v>2089.1912044927722</v>
      </c>
      <c r="P28" s="56"/>
    </row>
    <row r="29" spans="1:16" s="68" customFormat="1" ht="13.5" customHeight="1" x14ac:dyDescent="0.25">
      <c r="A29" s="79"/>
      <c r="B29" s="7" t="s">
        <v>34</v>
      </c>
      <c r="C29" s="65">
        <v>8930.842354762126</v>
      </c>
      <c r="D29" s="65"/>
      <c r="E29" s="65">
        <v>1729.4680000599994</v>
      </c>
      <c r="F29" s="65">
        <v>1667.7080000599994</v>
      </c>
      <c r="G29" s="65">
        <v>61.76</v>
      </c>
      <c r="H29" s="65"/>
      <c r="I29" s="65">
        <v>634.33300203734541</v>
      </c>
      <c r="J29" s="33">
        <v>170.0409998837703</v>
      </c>
      <c r="K29" s="33">
        <v>464.29200215357508</v>
      </c>
      <c r="L29" s="35"/>
      <c r="M29" s="33">
        <v>6567.0413526647808</v>
      </c>
      <c r="N29" s="33">
        <v>333.29000106083959</v>
      </c>
      <c r="O29" s="33">
        <v>6233.7513516039417</v>
      </c>
      <c r="P29" s="56"/>
    </row>
    <row r="30" spans="1:16" s="68" customFormat="1" ht="13.5" customHeight="1" x14ac:dyDescent="0.25">
      <c r="A30" s="79"/>
      <c r="B30" s="7" t="s">
        <v>35</v>
      </c>
      <c r="C30" s="65">
        <v>13637.164646819572</v>
      </c>
      <c r="D30" s="65"/>
      <c r="E30" s="65">
        <v>2018.4799999999996</v>
      </c>
      <c r="F30" s="65">
        <v>1803.9169999999995</v>
      </c>
      <c r="G30" s="65">
        <v>214.56299999999999</v>
      </c>
      <c r="H30" s="65"/>
      <c r="I30" s="65">
        <v>2349.8573343506951</v>
      </c>
      <c r="J30" s="33">
        <v>872.99023688669786</v>
      </c>
      <c r="K30" s="33">
        <v>1476.8670974639972</v>
      </c>
      <c r="L30" s="35"/>
      <c r="M30" s="33">
        <v>9268.8273124688785</v>
      </c>
      <c r="N30" s="33">
        <v>86.301467887170602</v>
      </c>
      <c r="O30" s="33">
        <v>9182.5258445817071</v>
      </c>
      <c r="P30" s="56"/>
    </row>
    <row r="31" spans="1:16" s="68" customFormat="1" ht="13.5" customHeight="1" x14ac:dyDescent="0.25">
      <c r="A31" s="79"/>
      <c r="B31" s="7" t="s">
        <v>36</v>
      </c>
      <c r="C31" s="65">
        <v>5566.5979223490285</v>
      </c>
      <c r="D31" s="65"/>
      <c r="E31" s="65">
        <v>815.51499999999987</v>
      </c>
      <c r="F31" s="65">
        <v>769.49399999999991</v>
      </c>
      <c r="G31" s="65">
        <v>46.021000000000001</v>
      </c>
      <c r="H31" s="65"/>
      <c r="I31" s="65">
        <v>967.26700246116184</v>
      </c>
      <c r="J31" s="33">
        <v>191.56699976332996</v>
      </c>
      <c r="K31" s="33">
        <v>775.70000269783191</v>
      </c>
      <c r="L31" s="35"/>
      <c r="M31" s="39">
        <v>3783.8159198878666</v>
      </c>
      <c r="N31" s="33">
        <v>2.4811180281008003</v>
      </c>
      <c r="O31" s="33">
        <v>3781.3348018597658</v>
      </c>
      <c r="P31" s="56"/>
    </row>
    <row r="32" spans="1:16" s="68" customFormat="1" ht="13.5" customHeight="1" x14ac:dyDescent="0.25">
      <c r="A32" s="79"/>
      <c r="B32" s="7" t="s">
        <v>37</v>
      </c>
      <c r="C32" s="65">
        <v>2650.0062732061956</v>
      </c>
      <c r="D32" s="65"/>
      <c r="E32" s="65">
        <v>631.05299999999988</v>
      </c>
      <c r="F32" s="65">
        <v>580.05899999999986</v>
      </c>
      <c r="G32" s="65">
        <v>50.994</v>
      </c>
      <c r="H32" s="65"/>
      <c r="I32" s="65">
        <v>489.70400172482209</v>
      </c>
      <c r="J32" s="33">
        <v>85.003000736230007</v>
      </c>
      <c r="K32" s="33">
        <v>404.70100098859206</v>
      </c>
      <c r="L32" s="35"/>
      <c r="M32" s="39">
        <v>1529.2492714813736</v>
      </c>
      <c r="N32" s="33">
        <v>175.12000443440661</v>
      </c>
      <c r="O32" s="33">
        <v>1354.129267046967</v>
      </c>
      <c r="P32" s="56"/>
    </row>
    <row r="33" spans="1:16" s="68" customFormat="1" ht="13.5" customHeight="1" x14ac:dyDescent="0.25">
      <c r="A33" s="79"/>
      <c r="B33" s="7" t="s">
        <v>38</v>
      </c>
      <c r="C33" s="65">
        <v>1002.111680054242</v>
      </c>
      <c r="D33" s="65"/>
      <c r="E33" s="65">
        <v>138.47399999999996</v>
      </c>
      <c r="F33" s="65">
        <v>138.47399999999996</v>
      </c>
      <c r="G33" s="65">
        <v>0</v>
      </c>
      <c r="H33" s="65"/>
      <c r="I33" s="65">
        <v>287.52468188887997</v>
      </c>
      <c r="J33" s="33">
        <v>71.736001461784994</v>
      </c>
      <c r="K33" s="33">
        <v>215.78868042709499</v>
      </c>
      <c r="L33" s="35"/>
      <c r="M33" s="39">
        <v>576.11299816536211</v>
      </c>
      <c r="N33" s="33">
        <v>9.3299997933260013</v>
      </c>
      <c r="O33" s="33">
        <v>566.7829983720361</v>
      </c>
      <c r="P33" s="56"/>
    </row>
    <row r="34" spans="1:16" s="68" customFormat="1" ht="13.5" customHeight="1" thickBot="1" x14ac:dyDescent="0.3">
      <c r="A34" s="79"/>
      <c r="B34" s="13" t="s">
        <v>39</v>
      </c>
      <c r="C34" s="42">
        <v>2504.6953057412225</v>
      </c>
      <c r="D34" s="42"/>
      <c r="E34" s="42">
        <v>322.86099999999999</v>
      </c>
      <c r="F34" s="42">
        <v>219.04799999999997</v>
      </c>
      <c r="G34" s="42">
        <v>103.81299999999999</v>
      </c>
      <c r="H34" s="42"/>
      <c r="I34" s="42">
        <v>1286.6423072259602</v>
      </c>
      <c r="J34" s="42">
        <v>5.5460000038099997</v>
      </c>
      <c r="K34" s="42">
        <v>1281.0963072221502</v>
      </c>
      <c r="L34" s="42"/>
      <c r="M34" s="42">
        <v>895.19199851526207</v>
      </c>
      <c r="N34" s="42">
        <v>2.3200000375520005</v>
      </c>
      <c r="O34" s="42">
        <v>892.87199847771012</v>
      </c>
      <c r="P34" s="56"/>
    </row>
    <row r="35" spans="1:16" s="85" customFormat="1" ht="26.25" customHeight="1" x14ac:dyDescent="0.25">
      <c r="B35" s="199" t="s">
        <v>60</v>
      </c>
      <c r="C35" s="199"/>
      <c r="D35" s="199"/>
      <c r="E35" s="199"/>
      <c r="F35" s="199"/>
      <c r="G35" s="199"/>
      <c r="H35" s="199"/>
      <c r="I35" s="199"/>
      <c r="J35" s="199"/>
      <c r="K35" s="199"/>
      <c r="L35" s="199"/>
      <c r="M35" s="199"/>
      <c r="N35" s="199"/>
      <c r="O35" s="199"/>
    </row>
    <row r="36" spans="1:16" s="85" customFormat="1" ht="25.5" customHeight="1" x14ac:dyDescent="0.25">
      <c r="B36" s="153" t="s">
        <v>113</v>
      </c>
      <c r="C36" s="153"/>
      <c r="D36" s="153"/>
      <c r="E36" s="153"/>
      <c r="F36" s="153"/>
      <c r="G36" s="153"/>
      <c r="H36" s="153"/>
      <c r="I36" s="153"/>
      <c r="J36" s="153"/>
      <c r="K36" s="153"/>
      <c r="L36" s="153"/>
      <c r="M36" s="153"/>
      <c r="N36" s="153"/>
      <c r="O36" s="153"/>
    </row>
    <row r="37" spans="1:16" s="85" customFormat="1" ht="16.5" customHeight="1" x14ac:dyDescent="0.25">
      <c r="B37" s="71" t="s">
        <v>220</v>
      </c>
      <c r="C37" s="86"/>
      <c r="D37" s="86"/>
      <c r="E37" s="86"/>
      <c r="F37" s="86"/>
      <c r="G37" s="86"/>
      <c r="H37" s="86"/>
      <c r="I37" s="86"/>
      <c r="J37" s="86"/>
      <c r="K37" s="86"/>
      <c r="L37" s="86"/>
      <c r="M37" s="86"/>
      <c r="N37" s="86"/>
      <c r="O37" s="86"/>
    </row>
    <row r="38" spans="1:16" s="85" customFormat="1" x14ac:dyDescent="0.25">
      <c r="B38" s="71" t="s">
        <v>43</v>
      </c>
      <c r="C38" s="86"/>
      <c r="D38" s="86"/>
      <c r="E38" s="86"/>
      <c r="F38" s="86"/>
      <c r="G38" s="86"/>
      <c r="H38" s="86"/>
      <c r="I38" s="86"/>
      <c r="J38" s="86"/>
      <c r="K38" s="86"/>
      <c r="L38" s="86"/>
      <c r="M38" s="86"/>
      <c r="N38" s="86"/>
      <c r="O38" s="86"/>
    </row>
    <row r="39" spans="1:16" x14ac:dyDescent="0.3">
      <c r="B39" s="44"/>
      <c r="C39" s="44"/>
      <c r="D39" s="44"/>
      <c r="E39" s="44"/>
      <c r="F39" s="44"/>
      <c r="G39" s="44"/>
      <c r="H39" s="44"/>
      <c r="I39" s="44"/>
      <c r="J39" s="44"/>
      <c r="K39" s="44"/>
      <c r="L39" s="44"/>
      <c r="M39" s="44"/>
      <c r="N39" s="44"/>
    </row>
    <row r="40" spans="1:16" x14ac:dyDescent="0.3">
      <c r="B40" s="201" t="s">
        <v>218</v>
      </c>
      <c r="C40" s="201"/>
      <c r="D40" s="201"/>
      <c r="E40" s="201"/>
      <c r="F40" s="201"/>
      <c r="G40" s="201"/>
      <c r="H40" s="201"/>
      <c r="I40" s="201"/>
      <c r="J40" s="201"/>
      <c r="K40" s="201"/>
      <c r="L40" s="201"/>
      <c r="M40" s="201"/>
      <c r="N40" s="201"/>
      <c r="O40" s="201"/>
    </row>
    <row r="41" spans="1:16" x14ac:dyDescent="0.3">
      <c r="B41" s="200" t="s">
        <v>128</v>
      </c>
      <c r="C41" s="200"/>
      <c r="D41" s="200"/>
      <c r="E41" s="200"/>
      <c r="F41" s="200"/>
      <c r="G41" s="200"/>
      <c r="H41" s="200"/>
      <c r="I41" s="200"/>
      <c r="J41" s="200"/>
      <c r="K41" s="200"/>
      <c r="L41" s="200"/>
      <c r="M41" s="200"/>
      <c r="N41" s="200"/>
      <c r="O41" s="200"/>
    </row>
    <row r="43" spans="1:16" ht="17.25" thickBot="1" x14ac:dyDescent="0.35">
      <c r="B43" s="44"/>
      <c r="C43" s="44"/>
      <c r="D43" s="44"/>
      <c r="E43" s="44"/>
      <c r="F43" s="44"/>
      <c r="G43" s="44"/>
      <c r="H43" s="78" t="s">
        <v>2</v>
      </c>
      <c r="I43" s="44"/>
      <c r="J43" s="44"/>
      <c r="K43" s="44"/>
      <c r="L43" s="44"/>
      <c r="M43" s="44"/>
      <c r="N43" s="44"/>
      <c r="O43" s="44"/>
    </row>
    <row r="44" spans="1:16" ht="16.5" customHeight="1" x14ac:dyDescent="0.3">
      <c r="B44" s="147" t="s">
        <v>3</v>
      </c>
      <c r="C44" s="163" t="s">
        <v>4</v>
      </c>
      <c r="D44" s="60"/>
      <c r="E44" s="193" t="s">
        <v>5</v>
      </c>
      <c r="F44" s="193"/>
      <c r="G44" s="193"/>
      <c r="H44" s="61"/>
      <c r="I44" s="147" t="s">
        <v>123</v>
      </c>
      <c r="J44" s="147"/>
      <c r="K44" s="147"/>
      <c r="L44" s="3"/>
      <c r="M44" s="147" t="s">
        <v>124</v>
      </c>
      <c r="N44" s="147"/>
      <c r="O44" s="147"/>
    </row>
    <row r="45" spans="1:16" ht="17.25" thickBot="1" x14ac:dyDescent="0.35">
      <c r="B45" s="148"/>
      <c r="C45" s="164"/>
      <c r="D45" s="62"/>
      <c r="E45" s="63" t="s">
        <v>8</v>
      </c>
      <c r="F45" s="63" t="s">
        <v>9</v>
      </c>
      <c r="G45" s="63" t="s">
        <v>10</v>
      </c>
      <c r="H45" s="62"/>
      <c r="I45" s="63" t="s">
        <v>11</v>
      </c>
      <c r="J45" s="63" t="s">
        <v>12</v>
      </c>
      <c r="K45" s="63" t="s">
        <v>10</v>
      </c>
      <c r="L45" s="62"/>
      <c r="M45" s="63" t="s">
        <v>11</v>
      </c>
      <c r="N45" s="63" t="s">
        <v>12</v>
      </c>
      <c r="O45" s="4" t="s">
        <v>10</v>
      </c>
    </row>
    <row r="46" spans="1:16" x14ac:dyDescent="0.3">
      <c r="B46" s="55" t="s">
        <v>13</v>
      </c>
      <c r="C46" s="29">
        <v>173784.93249535587</v>
      </c>
      <c r="D46" s="29"/>
      <c r="E46" s="29">
        <v>27113.877000000004</v>
      </c>
      <c r="F46" s="29">
        <v>22674.960999999988</v>
      </c>
      <c r="G46" s="29">
        <v>4438.9160000000011</v>
      </c>
      <c r="H46" s="29"/>
      <c r="I46" s="29">
        <v>28125.705733999999</v>
      </c>
      <c r="J46" s="29">
        <v>5126.1460230000012</v>
      </c>
      <c r="K46" s="29">
        <v>22999.559710999998</v>
      </c>
      <c r="L46" s="29"/>
      <c r="M46" s="29">
        <v>118545.3497613558</v>
      </c>
      <c r="N46" s="29">
        <v>3263.9420141762253</v>
      </c>
      <c r="O46" s="8">
        <v>115281.4077471796</v>
      </c>
    </row>
    <row r="47" spans="1:16" x14ac:dyDescent="0.3">
      <c r="B47" s="47" t="s">
        <v>14</v>
      </c>
      <c r="C47" s="65">
        <v>3506.9183967536501</v>
      </c>
      <c r="D47" s="65"/>
      <c r="E47" s="65">
        <v>862.95200000000011</v>
      </c>
      <c r="F47" s="65">
        <v>848.74700000000007</v>
      </c>
      <c r="G47" s="65">
        <v>14.205000000000002</v>
      </c>
      <c r="H47" s="65"/>
      <c r="I47" s="65">
        <v>880.76492299999984</v>
      </c>
      <c r="J47" s="33">
        <v>39.593778</v>
      </c>
      <c r="K47" s="33">
        <v>841.1711449999998</v>
      </c>
      <c r="L47" s="35"/>
      <c r="M47" s="33">
        <v>1763.2014737536501</v>
      </c>
      <c r="N47" s="33">
        <v>0</v>
      </c>
      <c r="O47" s="68">
        <v>1763.2014737536501</v>
      </c>
    </row>
    <row r="48" spans="1:16" x14ac:dyDescent="0.3">
      <c r="B48" s="47" t="s">
        <v>15</v>
      </c>
      <c r="C48" s="65">
        <v>10740.959442388104</v>
      </c>
      <c r="D48" s="65"/>
      <c r="E48" s="65">
        <v>1885.133</v>
      </c>
      <c r="F48" s="65">
        <v>1436.24</v>
      </c>
      <c r="G48" s="65">
        <v>448.89300000000003</v>
      </c>
      <c r="H48" s="65"/>
      <c r="I48" s="65">
        <v>1222.7209999999998</v>
      </c>
      <c r="J48" s="33">
        <v>526.6620009999998</v>
      </c>
      <c r="K48" s="33">
        <v>696.05899899999997</v>
      </c>
      <c r="L48" s="35"/>
      <c r="M48" s="33">
        <v>7633.1054423881042</v>
      </c>
      <c r="N48" s="33">
        <v>126.30400478713695</v>
      </c>
      <c r="O48" s="33">
        <v>7506.8014376009669</v>
      </c>
    </row>
    <row r="49" spans="2:15" x14ac:dyDescent="0.3">
      <c r="B49" s="47" t="s">
        <v>16</v>
      </c>
      <c r="C49" s="65">
        <v>8161.8824885683562</v>
      </c>
      <c r="D49" s="65"/>
      <c r="E49" s="65">
        <v>1283.5750000000003</v>
      </c>
      <c r="F49" s="65">
        <v>1048.7620000000002</v>
      </c>
      <c r="G49" s="65">
        <v>234.81300000000005</v>
      </c>
      <c r="H49" s="65"/>
      <c r="I49" s="65">
        <v>1292.0650010000002</v>
      </c>
      <c r="J49" s="33">
        <v>8.3140000000000001</v>
      </c>
      <c r="K49" s="33">
        <v>1283.7510010000001</v>
      </c>
      <c r="L49" s="35"/>
      <c r="M49" s="33">
        <v>5586.2424875683555</v>
      </c>
      <c r="N49" s="33">
        <v>11.299753275747999</v>
      </c>
      <c r="O49" s="33">
        <v>5574.9427342926074</v>
      </c>
    </row>
    <row r="50" spans="2:15" x14ac:dyDescent="0.3">
      <c r="B50" s="47" t="s">
        <v>17</v>
      </c>
      <c r="C50" s="65">
        <v>10307.040839576048</v>
      </c>
      <c r="D50" s="65"/>
      <c r="E50" s="65">
        <v>1494.0819999999994</v>
      </c>
      <c r="F50" s="65">
        <v>1219.5319999999995</v>
      </c>
      <c r="G50" s="65">
        <v>274.55</v>
      </c>
      <c r="H50" s="65"/>
      <c r="I50" s="65">
        <v>1742.3378379999999</v>
      </c>
      <c r="J50" s="33">
        <v>989.16954200000009</v>
      </c>
      <c r="K50" s="33">
        <v>753.16829599999994</v>
      </c>
      <c r="L50" s="35"/>
      <c r="M50" s="33">
        <v>7070.6210015760489</v>
      </c>
      <c r="N50" s="33">
        <v>617.42341527041322</v>
      </c>
      <c r="O50" s="33">
        <v>6453.1975863056359</v>
      </c>
    </row>
    <row r="51" spans="2:15" x14ac:dyDescent="0.3">
      <c r="B51" s="47" t="s">
        <v>18</v>
      </c>
      <c r="C51" s="65">
        <v>12479.76984068294</v>
      </c>
      <c r="D51" s="65"/>
      <c r="E51" s="65">
        <v>1801.7720000000002</v>
      </c>
      <c r="F51" s="65">
        <v>1727.8980000000001</v>
      </c>
      <c r="G51" s="65">
        <v>73.874000000000009</v>
      </c>
      <c r="H51" s="65"/>
      <c r="I51" s="65">
        <v>1861.7039100000002</v>
      </c>
      <c r="J51" s="33">
        <v>313.18185299999999</v>
      </c>
      <c r="K51" s="33">
        <v>1548.5220570000001</v>
      </c>
      <c r="L51" s="35"/>
      <c r="M51" s="33">
        <v>8816.2939306829394</v>
      </c>
      <c r="N51" s="33">
        <v>211.39265479151467</v>
      </c>
      <c r="O51" s="33">
        <v>8604.901275891425</v>
      </c>
    </row>
    <row r="52" spans="2:15" x14ac:dyDescent="0.3">
      <c r="B52" s="47" t="s">
        <v>19</v>
      </c>
      <c r="C52" s="65">
        <v>15646.392286586368</v>
      </c>
      <c r="D52" s="65"/>
      <c r="E52" s="65">
        <v>1745.2789999999991</v>
      </c>
      <c r="F52" s="65">
        <v>1528.5469999999991</v>
      </c>
      <c r="G52" s="65">
        <v>216.732</v>
      </c>
      <c r="H52" s="65"/>
      <c r="I52" s="65">
        <v>935.56764700000008</v>
      </c>
      <c r="J52" s="33">
        <v>40.294999999999995</v>
      </c>
      <c r="K52" s="33">
        <v>895.27264700000012</v>
      </c>
      <c r="L52" s="35"/>
      <c r="M52" s="33">
        <v>12965.545639586368</v>
      </c>
      <c r="N52" s="33">
        <v>78.884373567554476</v>
      </c>
      <c r="O52" s="33">
        <v>12886.661266018813</v>
      </c>
    </row>
    <row r="53" spans="2:15" x14ac:dyDescent="0.3">
      <c r="B53" s="47" t="s">
        <v>20</v>
      </c>
      <c r="C53" s="65">
        <v>51.446000000000005</v>
      </c>
      <c r="D53" s="65"/>
      <c r="E53" s="65">
        <v>44.547000000000004</v>
      </c>
      <c r="F53" s="65">
        <v>44.547000000000004</v>
      </c>
      <c r="G53" s="65">
        <v>0</v>
      </c>
      <c r="H53" s="65"/>
      <c r="I53" s="65">
        <v>6.8990000000000009</v>
      </c>
      <c r="J53" s="33">
        <v>5.1510000000000007</v>
      </c>
      <c r="K53" s="33">
        <v>1.748</v>
      </c>
      <c r="L53" s="35"/>
      <c r="M53" s="33">
        <v>0</v>
      </c>
      <c r="N53" s="33">
        <v>0</v>
      </c>
      <c r="O53" s="33">
        <v>0</v>
      </c>
    </row>
    <row r="54" spans="2:15" x14ac:dyDescent="0.3">
      <c r="B54" s="47" t="s">
        <v>21</v>
      </c>
      <c r="C54" s="65">
        <v>17419.424417757618</v>
      </c>
      <c r="D54" s="65"/>
      <c r="E54" s="65">
        <v>2019.8559999999995</v>
      </c>
      <c r="F54" s="65">
        <v>1658.1319999999994</v>
      </c>
      <c r="G54" s="65">
        <v>361.7240000000001</v>
      </c>
      <c r="H54" s="65"/>
      <c r="I54" s="65">
        <v>2739.9168890000001</v>
      </c>
      <c r="J54" s="33">
        <v>483.55699900000008</v>
      </c>
      <c r="K54" s="33">
        <v>2256.3598900000002</v>
      </c>
      <c r="L54" s="35"/>
      <c r="M54" s="33">
        <v>12659.651528757619</v>
      </c>
      <c r="N54" s="33">
        <v>328.23300189930069</v>
      </c>
      <c r="O54" s="33">
        <v>12331.418526858317</v>
      </c>
    </row>
    <row r="55" spans="2:15" x14ac:dyDescent="0.3">
      <c r="B55" s="47" t="s">
        <v>22</v>
      </c>
      <c r="C55" s="65">
        <v>8296.7716930829629</v>
      </c>
      <c r="D55" s="65"/>
      <c r="E55" s="65">
        <v>1443.742</v>
      </c>
      <c r="F55" s="65">
        <v>1190.251</v>
      </c>
      <c r="G55" s="65">
        <v>253.49100000000001</v>
      </c>
      <c r="H55" s="65"/>
      <c r="I55" s="65">
        <v>2002.4660000000001</v>
      </c>
      <c r="J55" s="33">
        <v>7.8810000000000002</v>
      </c>
      <c r="K55" s="33">
        <v>1994.585</v>
      </c>
      <c r="L55" s="35"/>
      <c r="M55" s="33">
        <v>4850.5636930829623</v>
      </c>
      <c r="N55" s="33">
        <v>0.66000002622599996</v>
      </c>
      <c r="O55" s="33">
        <v>4849.9036930567363</v>
      </c>
    </row>
    <row r="56" spans="2:15" x14ac:dyDescent="0.3">
      <c r="B56" s="47" t="s">
        <v>23</v>
      </c>
      <c r="C56" s="65">
        <v>7947.9734835715353</v>
      </c>
      <c r="D56" s="65"/>
      <c r="E56" s="65">
        <v>1325.027</v>
      </c>
      <c r="F56" s="65">
        <v>929.59700000000009</v>
      </c>
      <c r="G56" s="65">
        <v>395.43000000000006</v>
      </c>
      <c r="H56" s="65"/>
      <c r="I56" s="65">
        <v>802.11049899999978</v>
      </c>
      <c r="J56" s="33">
        <v>6.0549999999999997</v>
      </c>
      <c r="K56" s="33">
        <v>796.05549899999983</v>
      </c>
      <c r="L56" s="35"/>
      <c r="M56" s="33">
        <v>5820.8359845715349</v>
      </c>
      <c r="N56" s="33">
        <v>128.99935834470523</v>
      </c>
      <c r="O56" s="33">
        <v>5691.83662622683</v>
      </c>
    </row>
    <row r="57" spans="2:15" x14ac:dyDescent="0.3">
      <c r="B57" s="47" t="s">
        <v>24</v>
      </c>
      <c r="C57" s="65">
        <v>3711.8101107812549</v>
      </c>
      <c r="D57" s="65"/>
      <c r="E57" s="65">
        <v>698.18600000000015</v>
      </c>
      <c r="F57" s="65">
        <v>684.13600000000019</v>
      </c>
      <c r="G57" s="65">
        <v>14.049999999999999</v>
      </c>
      <c r="H57" s="65"/>
      <c r="I57" s="65">
        <v>747.02541299999996</v>
      </c>
      <c r="J57" s="33">
        <v>55.187999999999995</v>
      </c>
      <c r="K57" s="33">
        <v>691.83741299999997</v>
      </c>
      <c r="L57" s="35"/>
      <c r="M57" s="33">
        <v>2266.5986977812549</v>
      </c>
      <c r="N57" s="33">
        <v>210.23558544335867</v>
      </c>
      <c r="O57" s="33">
        <v>2056.3631123378964</v>
      </c>
    </row>
    <row r="58" spans="2:15" x14ac:dyDescent="0.3">
      <c r="B58" s="47" t="s">
        <v>25</v>
      </c>
      <c r="C58" s="65">
        <v>12051.84363675315</v>
      </c>
      <c r="D58" s="65"/>
      <c r="E58" s="65">
        <v>1788.3549999999996</v>
      </c>
      <c r="F58" s="65">
        <v>1073.1409999999996</v>
      </c>
      <c r="G58" s="65">
        <v>715.21399999999994</v>
      </c>
      <c r="H58" s="65"/>
      <c r="I58" s="65">
        <v>1125.1709849999997</v>
      </c>
      <c r="J58" s="33">
        <v>75.713999999999984</v>
      </c>
      <c r="K58" s="33">
        <v>1049.4569849999998</v>
      </c>
      <c r="L58" s="35"/>
      <c r="M58" s="33">
        <v>9138.3176517531519</v>
      </c>
      <c r="N58" s="33">
        <v>339.69774296076122</v>
      </c>
      <c r="O58" s="33">
        <v>8798.6199087923906</v>
      </c>
    </row>
    <row r="59" spans="2:15" x14ac:dyDescent="0.3">
      <c r="B59" s="47" t="s">
        <v>26</v>
      </c>
      <c r="C59" s="65">
        <v>8873.7278304258471</v>
      </c>
      <c r="D59" s="65"/>
      <c r="E59" s="65">
        <v>1333.8829999999998</v>
      </c>
      <c r="F59" s="65">
        <v>949.84199999999987</v>
      </c>
      <c r="G59" s="65">
        <v>384.04100000000005</v>
      </c>
      <c r="H59" s="65"/>
      <c r="I59" s="65">
        <v>1934.6191700000008</v>
      </c>
      <c r="J59" s="33">
        <v>90.842000000000013</v>
      </c>
      <c r="K59" s="33">
        <v>1843.7771700000008</v>
      </c>
      <c r="L59" s="35"/>
      <c r="M59" s="33">
        <v>5605.2256604258455</v>
      </c>
      <c r="N59" s="33">
        <v>161.90000087024896</v>
      </c>
      <c r="O59" s="33">
        <v>5443.3256595555968</v>
      </c>
    </row>
    <row r="60" spans="2:15" x14ac:dyDescent="0.3">
      <c r="B60" s="47" t="s">
        <v>27</v>
      </c>
      <c r="C60" s="65">
        <v>3199.4363453085834</v>
      </c>
      <c r="D60" s="65"/>
      <c r="E60" s="65">
        <v>468.79200000000003</v>
      </c>
      <c r="F60" s="65">
        <v>450.56400000000002</v>
      </c>
      <c r="G60" s="65">
        <v>18.228000000000002</v>
      </c>
      <c r="H60" s="65"/>
      <c r="I60" s="65">
        <v>674.953847</v>
      </c>
      <c r="J60" s="33">
        <v>206.35485000000003</v>
      </c>
      <c r="K60" s="33">
        <v>468.598997</v>
      </c>
      <c r="L60" s="35"/>
      <c r="M60" s="33">
        <v>2055.6904983085833</v>
      </c>
      <c r="N60" s="33">
        <v>27.550000309939996</v>
      </c>
      <c r="O60" s="33">
        <v>2028.1404979986432</v>
      </c>
    </row>
    <row r="61" spans="2:15" x14ac:dyDescent="0.3">
      <c r="B61" s="47" t="s">
        <v>28</v>
      </c>
      <c r="C61" s="65">
        <v>7611.2101190919575</v>
      </c>
      <c r="D61" s="65"/>
      <c r="E61" s="65">
        <v>1685.0389999999991</v>
      </c>
      <c r="F61" s="65">
        <v>1373.2299999999991</v>
      </c>
      <c r="G61" s="65">
        <v>311.80900000000003</v>
      </c>
      <c r="H61" s="65"/>
      <c r="I61" s="65">
        <v>1611.6542640000002</v>
      </c>
      <c r="J61" s="33">
        <v>183.58600299999998</v>
      </c>
      <c r="K61" s="33">
        <v>1428.0682610000003</v>
      </c>
      <c r="L61" s="35"/>
      <c r="M61" s="33">
        <v>4314.516855091958</v>
      </c>
      <c r="N61" s="33">
        <v>160.04828530229096</v>
      </c>
      <c r="O61" s="33">
        <v>4154.4685697896666</v>
      </c>
    </row>
    <row r="62" spans="2:15" x14ac:dyDescent="0.3">
      <c r="B62" s="47" t="s">
        <v>29</v>
      </c>
      <c r="C62" s="65">
        <v>903.94799949463913</v>
      </c>
      <c r="D62" s="65"/>
      <c r="E62" s="65">
        <v>128.87099999999998</v>
      </c>
      <c r="F62" s="65">
        <v>88.611999999999995</v>
      </c>
      <c r="G62" s="65">
        <v>40.259</v>
      </c>
      <c r="H62" s="65"/>
      <c r="I62" s="65">
        <v>320.74699700000002</v>
      </c>
      <c r="J62" s="33">
        <v>97.167000999999985</v>
      </c>
      <c r="K62" s="33">
        <v>223.57999600000002</v>
      </c>
      <c r="L62" s="35"/>
      <c r="M62" s="33">
        <v>454.33000249463907</v>
      </c>
      <c r="N62" s="33">
        <v>60.6300006039801</v>
      </c>
      <c r="O62" s="33">
        <v>393.700001890659</v>
      </c>
    </row>
    <row r="63" spans="2:15" x14ac:dyDescent="0.3">
      <c r="B63" s="47" t="s">
        <v>30</v>
      </c>
      <c r="C63" s="65">
        <v>2015.1449977858447</v>
      </c>
      <c r="D63" s="65"/>
      <c r="E63" s="65">
        <v>399.43099999999998</v>
      </c>
      <c r="F63" s="65">
        <v>399.43099999999998</v>
      </c>
      <c r="G63" s="65">
        <v>0</v>
      </c>
      <c r="H63" s="65"/>
      <c r="I63" s="65">
        <v>339.92999800000001</v>
      </c>
      <c r="J63" s="33">
        <v>1.865</v>
      </c>
      <c r="K63" s="33">
        <v>338.064998</v>
      </c>
      <c r="L63" s="35"/>
      <c r="M63" s="33">
        <v>1275.7839997858448</v>
      </c>
      <c r="N63" s="33">
        <v>6.4050000607950004</v>
      </c>
      <c r="O63" s="33">
        <v>1269.3789997250499</v>
      </c>
    </row>
    <row r="64" spans="2:15" x14ac:dyDescent="0.3">
      <c r="B64" s="47" t="s">
        <v>31</v>
      </c>
      <c r="C64" s="65">
        <v>2930.5755135483505</v>
      </c>
      <c r="D64" s="65"/>
      <c r="E64" s="65">
        <v>470.2850000000002</v>
      </c>
      <c r="F64" s="65">
        <v>470.2850000000002</v>
      </c>
      <c r="G64" s="65">
        <v>0</v>
      </c>
      <c r="H64" s="65"/>
      <c r="I64" s="65">
        <v>896.78499699999998</v>
      </c>
      <c r="J64" s="33">
        <v>136.13332800000001</v>
      </c>
      <c r="K64" s="33">
        <v>760.65166899999997</v>
      </c>
      <c r="L64" s="35"/>
      <c r="M64" s="33">
        <v>1563.5055165483504</v>
      </c>
      <c r="N64" s="33">
        <v>109.61034013196178</v>
      </c>
      <c r="O64" s="33">
        <v>1453.8951764163887</v>
      </c>
    </row>
    <row r="65" spans="2:15" x14ac:dyDescent="0.3">
      <c r="B65" s="47" t="s">
        <v>32</v>
      </c>
      <c r="C65" s="65">
        <v>3636.0810983412916</v>
      </c>
      <c r="D65" s="65"/>
      <c r="E65" s="65">
        <v>579.21899999999994</v>
      </c>
      <c r="F65" s="65">
        <v>374.76699999999994</v>
      </c>
      <c r="G65" s="65">
        <v>204.45200000000003</v>
      </c>
      <c r="H65" s="65"/>
      <c r="I65" s="65">
        <v>958.38798900000006</v>
      </c>
      <c r="J65" s="33">
        <v>34.195149000000001</v>
      </c>
      <c r="K65" s="33">
        <v>924.19284000000005</v>
      </c>
      <c r="L65" s="35"/>
      <c r="M65" s="33">
        <v>2098.4741093412918</v>
      </c>
      <c r="N65" s="33">
        <v>13.273904947669999</v>
      </c>
      <c r="O65" s="33">
        <v>2085.2002043936218</v>
      </c>
    </row>
    <row r="66" spans="2:15" x14ac:dyDescent="0.3">
      <c r="B66" s="47" t="s">
        <v>34</v>
      </c>
      <c r="C66" s="65">
        <v>8928.2726762602833</v>
      </c>
      <c r="D66" s="65"/>
      <c r="E66" s="65">
        <v>1729.4679999999994</v>
      </c>
      <c r="F66" s="65">
        <v>1667.7079999999994</v>
      </c>
      <c r="G66" s="65">
        <v>61.760000000000005</v>
      </c>
      <c r="H66" s="65"/>
      <c r="I66" s="65">
        <v>634.33300200000008</v>
      </c>
      <c r="J66" s="33">
        <v>170.041</v>
      </c>
      <c r="K66" s="33">
        <v>464.29200200000008</v>
      </c>
      <c r="L66" s="35"/>
      <c r="M66" s="33">
        <v>6564.4716742602832</v>
      </c>
      <c r="N66" s="33">
        <v>333.29000106083959</v>
      </c>
      <c r="O66" s="33">
        <v>6231.181673199444</v>
      </c>
    </row>
    <row r="67" spans="2:15" x14ac:dyDescent="0.3">
      <c r="B67" s="47" t="s">
        <v>35</v>
      </c>
      <c r="C67" s="65">
        <v>13610.878216046571</v>
      </c>
      <c r="D67" s="65"/>
      <c r="E67" s="65">
        <v>2018.4799999999996</v>
      </c>
      <c r="F67" s="65">
        <v>1803.9169999999995</v>
      </c>
      <c r="G67" s="65">
        <v>214.56299999999999</v>
      </c>
      <c r="H67" s="65"/>
      <c r="I67" s="65">
        <v>2334.1797890000007</v>
      </c>
      <c r="J67" s="33">
        <v>1205.7485160000006</v>
      </c>
      <c r="K67" s="33">
        <v>1128.4312729999999</v>
      </c>
      <c r="L67" s="35"/>
      <c r="M67" s="33">
        <v>9258.2184270465714</v>
      </c>
      <c r="N67" s="33">
        <v>86.301467887170602</v>
      </c>
      <c r="O67" s="33">
        <v>9171.9169591594</v>
      </c>
    </row>
    <row r="68" spans="2:15" x14ac:dyDescent="0.3">
      <c r="B68" s="47" t="s">
        <v>36</v>
      </c>
      <c r="C68" s="65">
        <v>5564.8702565506674</v>
      </c>
      <c r="D68" s="65"/>
      <c r="E68" s="65">
        <v>815.51500000000021</v>
      </c>
      <c r="F68" s="65">
        <v>769.49400000000026</v>
      </c>
      <c r="G68" s="65">
        <v>46.021000000000008</v>
      </c>
      <c r="H68" s="65"/>
      <c r="I68" s="65">
        <v>965.30600300000003</v>
      </c>
      <c r="J68" s="33">
        <v>192.67200099999999</v>
      </c>
      <c r="K68" s="33">
        <v>772.63400200000001</v>
      </c>
      <c r="L68" s="35"/>
      <c r="M68" s="39">
        <v>3784.0492535506669</v>
      </c>
      <c r="N68" s="33">
        <v>2.4811180281008003</v>
      </c>
      <c r="O68" s="33">
        <v>3781.5681355225661</v>
      </c>
    </row>
    <row r="69" spans="2:15" x14ac:dyDescent="0.3">
      <c r="B69" s="47" t="s">
        <v>37</v>
      </c>
      <c r="C69" s="65">
        <v>2652.9489404329875</v>
      </c>
      <c r="D69" s="65"/>
      <c r="E69" s="65">
        <v>631.05300000000011</v>
      </c>
      <c r="F69" s="65">
        <v>580.05900000000008</v>
      </c>
      <c r="G69" s="65">
        <v>50.994</v>
      </c>
      <c r="H69" s="65"/>
      <c r="I69" s="65">
        <v>493.09470400000004</v>
      </c>
      <c r="J69" s="33">
        <v>157.680001</v>
      </c>
      <c r="K69" s="33">
        <v>335.41470300000003</v>
      </c>
      <c r="L69" s="35"/>
      <c r="M69" s="39">
        <v>1528.8012364329873</v>
      </c>
      <c r="N69" s="33">
        <v>232.58200471841073</v>
      </c>
      <c r="O69" s="33">
        <v>1296.2192317145766</v>
      </c>
    </row>
    <row r="70" spans="2:15" x14ac:dyDescent="0.3">
      <c r="B70" s="47" t="s">
        <v>38</v>
      </c>
      <c r="C70" s="65">
        <v>1001.8485620515322</v>
      </c>
      <c r="D70" s="65"/>
      <c r="E70" s="65">
        <v>138.47399999999999</v>
      </c>
      <c r="F70" s="65">
        <v>138.47399999999999</v>
      </c>
      <c r="G70" s="65">
        <v>0</v>
      </c>
      <c r="H70" s="65"/>
      <c r="I70" s="65">
        <v>287.26156399999996</v>
      </c>
      <c r="J70" s="33">
        <v>93.553001000000009</v>
      </c>
      <c r="K70" s="33">
        <v>193.70856299999997</v>
      </c>
      <c r="L70" s="35"/>
      <c r="M70" s="39">
        <v>576.11299805153226</v>
      </c>
      <c r="N70" s="33">
        <v>14.419999850545999</v>
      </c>
      <c r="O70" s="33">
        <v>561.69299820098627</v>
      </c>
    </row>
    <row r="71" spans="2:15" ht="17.25" thickBot="1" x14ac:dyDescent="0.35">
      <c r="B71" s="98" t="s">
        <v>39</v>
      </c>
      <c r="C71" s="42">
        <v>2533.7573035152614</v>
      </c>
      <c r="D71" s="42"/>
      <c r="E71" s="42">
        <v>322.86099999999993</v>
      </c>
      <c r="F71" s="42">
        <v>219.04799999999994</v>
      </c>
      <c r="G71" s="42">
        <v>103.81299999999999</v>
      </c>
      <c r="H71" s="42"/>
      <c r="I71" s="42">
        <v>1315.7043049999997</v>
      </c>
      <c r="J71" s="42">
        <v>5.5460000000000003</v>
      </c>
      <c r="K71" s="42">
        <v>1310.1583049999997</v>
      </c>
      <c r="L71" s="42"/>
      <c r="M71" s="42">
        <v>895.19199851526184</v>
      </c>
      <c r="N71" s="42">
        <v>2.3200000375520005</v>
      </c>
      <c r="O71" s="42">
        <v>892.87199847770989</v>
      </c>
    </row>
    <row r="72" spans="2:15" ht="34.5" customHeight="1" x14ac:dyDescent="0.3">
      <c r="B72" s="202" t="s">
        <v>60</v>
      </c>
      <c r="C72" s="202"/>
      <c r="D72" s="202"/>
      <c r="E72" s="202"/>
      <c r="F72" s="202"/>
      <c r="G72" s="202"/>
      <c r="H72" s="202"/>
      <c r="I72" s="202"/>
      <c r="J72" s="202"/>
      <c r="K72" s="202"/>
      <c r="L72" s="202"/>
      <c r="M72" s="202"/>
      <c r="N72" s="202"/>
      <c r="O72" s="202"/>
    </row>
    <row r="73" spans="2:15" ht="57.75" customHeight="1" x14ac:dyDescent="0.3">
      <c r="B73" s="202" t="s">
        <v>113</v>
      </c>
      <c r="C73" s="202"/>
      <c r="D73" s="202"/>
      <c r="E73" s="202"/>
      <c r="F73" s="202"/>
      <c r="G73" s="202"/>
      <c r="H73" s="202"/>
      <c r="I73" s="202"/>
      <c r="J73" s="202"/>
      <c r="K73" s="202"/>
      <c r="L73" s="202"/>
      <c r="M73" s="202"/>
      <c r="N73" s="202"/>
      <c r="O73" s="202"/>
    </row>
    <row r="74" spans="2:15" x14ac:dyDescent="0.3">
      <c r="B74" s="202" t="s">
        <v>129</v>
      </c>
      <c r="C74" s="202"/>
      <c r="D74" s="202"/>
      <c r="E74" s="202"/>
      <c r="F74" s="202"/>
      <c r="G74" s="202"/>
      <c r="H74" s="202"/>
      <c r="I74" s="202"/>
      <c r="J74" s="202"/>
      <c r="K74" s="202"/>
      <c r="L74" s="202"/>
      <c r="M74" s="202"/>
      <c r="N74" s="202"/>
      <c r="O74" s="202"/>
    </row>
    <row r="75" spans="2:15" x14ac:dyDescent="0.3">
      <c r="B75" s="71" t="s">
        <v>43</v>
      </c>
    </row>
  </sheetData>
  <mergeCells count="20">
    <mergeCell ref="B35:O35"/>
    <mergeCell ref="B36:O36"/>
    <mergeCell ref="B3:O3"/>
    <mergeCell ref="B4:O4"/>
    <mergeCell ref="B6:O6"/>
    <mergeCell ref="B7:B8"/>
    <mergeCell ref="C7:C8"/>
    <mergeCell ref="E7:G7"/>
    <mergeCell ref="I7:K7"/>
    <mergeCell ref="M7:O7"/>
    <mergeCell ref="B72:O72"/>
    <mergeCell ref="B73:O73"/>
    <mergeCell ref="B74:O74"/>
    <mergeCell ref="B40:O40"/>
    <mergeCell ref="B41:O41"/>
    <mergeCell ref="B44:B45"/>
    <mergeCell ref="C44:C45"/>
    <mergeCell ref="E44:G44"/>
    <mergeCell ref="I44:K44"/>
    <mergeCell ref="M44:O44"/>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175"/>
  <sheetViews>
    <sheetView topLeftCell="A49" zoomScale="90" zoomScaleNormal="90" zoomScalePageLayoutView="85" workbookViewId="0">
      <selection activeCell="C79" sqref="C79"/>
    </sheetView>
  </sheetViews>
  <sheetFormatPr baseColWidth="10" defaultColWidth="11.42578125" defaultRowHeight="16.5" x14ac:dyDescent="0.3"/>
  <cols>
    <col min="1" max="1" width="11.42578125" style="100"/>
    <col min="2" max="2" width="7.140625" style="1" customWidth="1"/>
    <col min="3" max="3" width="20.42578125" style="1" customWidth="1"/>
    <col min="4" max="4" width="12.85546875" style="1" customWidth="1"/>
    <col min="5" max="5" width="1.7109375" style="1" customWidth="1"/>
    <col min="6" max="6" width="7.42578125" style="1" customWidth="1"/>
    <col min="7" max="7" width="11.140625" style="1" customWidth="1"/>
    <col min="8" max="8" width="18.85546875" style="1" bestFit="1" customWidth="1"/>
    <col min="9" max="9" width="1.85546875" style="1" customWidth="1"/>
    <col min="10" max="10" width="18.85546875" style="1" customWidth="1"/>
    <col min="11" max="11" width="13" style="1" bestFit="1" customWidth="1"/>
    <col min="12" max="12" width="18.85546875" style="1" bestFit="1" customWidth="1"/>
    <col min="13" max="13" width="1" style="1" customWidth="1"/>
    <col min="14" max="14" width="14" style="1" bestFit="1" customWidth="1"/>
    <col min="15" max="15" width="13" style="1" bestFit="1" customWidth="1"/>
    <col min="16" max="16" width="15.28515625" style="1" bestFit="1" customWidth="1"/>
    <col min="17" max="17" width="7.42578125" style="1" customWidth="1"/>
    <col min="18" max="16384" width="11.42578125" style="100"/>
  </cols>
  <sheetData>
    <row r="1" spans="2:19" s="76" customFormat="1" x14ac:dyDescent="0.3"/>
    <row r="2" spans="2:19" s="1" customFormat="1" x14ac:dyDescent="0.3"/>
    <row r="3" spans="2:19" s="82" customFormat="1" ht="16.5" customHeight="1" x14ac:dyDescent="0.25">
      <c r="C3" s="145" t="s">
        <v>219</v>
      </c>
      <c r="D3" s="145"/>
      <c r="E3" s="145"/>
      <c r="F3" s="145"/>
      <c r="G3" s="145"/>
      <c r="H3" s="145"/>
      <c r="I3" s="145"/>
      <c r="J3" s="145"/>
      <c r="K3" s="145"/>
      <c r="L3" s="145"/>
      <c r="M3" s="145"/>
      <c r="N3" s="145"/>
      <c r="O3" s="145"/>
      <c r="P3" s="145"/>
    </row>
    <row r="4" spans="2:19" s="1" customFormat="1" ht="16.5" customHeight="1" x14ac:dyDescent="0.3">
      <c r="C4" s="146" t="s">
        <v>130</v>
      </c>
      <c r="D4" s="146"/>
      <c r="E4" s="146"/>
      <c r="F4" s="146"/>
      <c r="G4" s="146"/>
      <c r="H4" s="146"/>
      <c r="I4" s="146"/>
      <c r="J4" s="146"/>
      <c r="K4" s="146"/>
      <c r="L4" s="146"/>
      <c r="M4" s="146"/>
      <c r="N4" s="146"/>
      <c r="O4" s="146"/>
      <c r="P4" s="146"/>
      <c r="Q4" s="91"/>
    </row>
    <row r="5" spans="2:19" s="1" customFormat="1" ht="5.25" customHeight="1" x14ac:dyDescent="0.3">
      <c r="P5" s="59"/>
    </row>
    <row r="6" spans="2:19" s="1" customFormat="1" ht="17.25" customHeight="1" thickBot="1" x14ac:dyDescent="0.35">
      <c r="C6" s="144" t="s">
        <v>2</v>
      </c>
      <c r="D6" s="144"/>
      <c r="E6" s="144"/>
      <c r="F6" s="144"/>
      <c r="G6" s="144"/>
      <c r="H6" s="144"/>
      <c r="I6" s="144"/>
      <c r="J6" s="144"/>
      <c r="K6" s="144"/>
      <c r="L6" s="144"/>
      <c r="M6" s="144"/>
      <c r="N6" s="144"/>
      <c r="O6" s="144"/>
      <c r="P6" s="144"/>
    </row>
    <row r="7" spans="2:19" s="1" customFormat="1" ht="17.25" customHeight="1" x14ac:dyDescent="0.3">
      <c r="C7" s="3" t="s">
        <v>3</v>
      </c>
      <c r="D7" s="149" t="s">
        <v>4</v>
      </c>
      <c r="E7" s="54"/>
      <c r="F7" s="151" t="s">
        <v>5</v>
      </c>
      <c r="G7" s="151"/>
      <c r="H7" s="151"/>
      <c r="I7" s="3"/>
      <c r="J7" s="151" t="s">
        <v>6</v>
      </c>
      <c r="K7" s="151"/>
      <c r="L7" s="151"/>
      <c r="M7" s="3"/>
      <c r="N7" s="151" t="s">
        <v>7</v>
      </c>
      <c r="O7" s="151"/>
      <c r="P7" s="151"/>
    </row>
    <row r="8" spans="2:19" s="1" customFormat="1" ht="24" customHeight="1" thickBot="1" x14ac:dyDescent="0.35">
      <c r="C8" s="101"/>
      <c r="D8" s="150"/>
      <c r="E8" s="5"/>
      <c r="F8" s="4" t="s">
        <v>8</v>
      </c>
      <c r="G8" s="4" t="s">
        <v>9</v>
      </c>
      <c r="H8" s="4" t="s">
        <v>10</v>
      </c>
      <c r="I8" s="5"/>
      <c r="J8" s="4" t="s">
        <v>11</v>
      </c>
      <c r="K8" s="4" t="s">
        <v>12</v>
      </c>
      <c r="L8" s="4" t="s">
        <v>10</v>
      </c>
      <c r="M8" s="5"/>
      <c r="N8" s="4" t="s">
        <v>11</v>
      </c>
      <c r="O8" s="4" t="s">
        <v>12</v>
      </c>
      <c r="P8" s="4" t="s">
        <v>10</v>
      </c>
    </row>
    <row r="9" spans="2:19" s="1" customFormat="1" ht="20.25" customHeight="1" x14ac:dyDescent="0.3">
      <c r="C9" s="92" t="s">
        <v>13</v>
      </c>
      <c r="D9" s="93">
        <v>173894.77970476099</v>
      </c>
      <c r="E9" s="93"/>
      <c r="F9" s="93">
        <v>27441.229999999996</v>
      </c>
      <c r="G9" s="93">
        <v>22692.661999999993</v>
      </c>
      <c r="H9" s="93">
        <v>4748.5679999999993</v>
      </c>
      <c r="I9" s="93"/>
      <c r="J9" s="93">
        <v>27729.754522527637</v>
      </c>
      <c r="K9" s="93">
        <v>5858.0639936128291</v>
      </c>
      <c r="L9" s="93">
        <v>21871.690528914798</v>
      </c>
      <c r="M9" s="93"/>
      <c r="N9" s="93">
        <v>118723.79518223334</v>
      </c>
      <c r="O9" s="93">
        <v>3340.184750440435</v>
      </c>
      <c r="P9" s="93">
        <v>115383.61043179294</v>
      </c>
      <c r="R9" s="68"/>
      <c r="S9" s="68"/>
    </row>
    <row r="10" spans="2:19" s="68" customFormat="1" ht="13.5" customHeight="1" x14ac:dyDescent="0.25">
      <c r="B10" s="79"/>
      <c r="C10" s="11" t="s">
        <v>14</v>
      </c>
      <c r="D10" s="65">
        <v>3610.4201947549982</v>
      </c>
      <c r="E10" s="65"/>
      <c r="F10" s="65">
        <v>1155.7149999999997</v>
      </c>
      <c r="G10" s="65">
        <v>849.4219999999998</v>
      </c>
      <c r="H10" s="65">
        <v>306.29300000000001</v>
      </c>
      <c r="I10" s="65"/>
      <c r="J10" s="65">
        <v>586.06371916920989</v>
      </c>
      <c r="K10" s="33">
        <v>93.885577987662998</v>
      </c>
      <c r="L10" s="33">
        <v>492.17814118154695</v>
      </c>
      <c r="M10" s="35"/>
      <c r="N10" s="33">
        <v>1868.6414755857886</v>
      </c>
      <c r="O10" s="33">
        <v>0</v>
      </c>
      <c r="P10" s="33">
        <v>1868.6414755857886</v>
      </c>
      <c r="Q10" s="56"/>
    </row>
    <row r="11" spans="2:19" s="68" customFormat="1" ht="13.5" customHeight="1" x14ac:dyDescent="0.25">
      <c r="B11" s="79"/>
      <c r="C11" s="7" t="s">
        <v>15</v>
      </c>
      <c r="D11" s="65">
        <v>10735.243437557081</v>
      </c>
      <c r="E11" s="65"/>
      <c r="F11" s="65">
        <v>1884.9260000000004</v>
      </c>
      <c r="G11" s="65">
        <v>1436.0330000000004</v>
      </c>
      <c r="H11" s="65">
        <v>448.89300000000009</v>
      </c>
      <c r="I11" s="65"/>
      <c r="J11" s="65">
        <v>1222.7209956203264</v>
      </c>
      <c r="K11" s="33">
        <v>526.661998130283</v>
      </c>
      <c r="L11" s="33">
        <v>696.05899749004357</v>
      </c>
      <c r="M11" s="35"/>
      <c r="N11" s="33">
        <v>7627.5964419367547</v>
      </c>
      <c r="O11" s="33">
        <v>126.32300478713695</v>
      </c>
      <c r="P11" s="33">
        <v>7501.2734371496181</v>
      </c>
      <c r="Q11" s="56"/>
    </row>
    <row r="12" spans="2:19" s="68" customFormat="1" ht="13.5" customHeight="1" x14ac:dyDescent="0.25">
      <c r="B12" s="79"/>
      <c r="C12" s="7" t="s">
        <v>16</v>
      </c>
      <c r="D12" s="65">
        <v>8179.5759611800713</v>
      </c>
      <c r="E12" s="65"/>
      <c r="F12" s="65">
        <v>1280.6600000000003</v>
      </c>
      <c r="G12" s="65">
        <v>1045.8470000000002</v>
      </c>
      <c r="H12" s="65">
        <v>234.81299999999999</v>
      </c>
      <c r="I12" s="65"/>
      <c r="J12" s="65">
        <v>1298.8229996604259</v>
      </c>
      <c r="K12" s="33">
        <v>249.35400041163072</v>
      </c>
      <c r="L12" s="33">
        <v>1049.4689992487952</v>
      </c>
      <c r="M12" s="35"/>
      <c r="N12" s="33">
        <v>5600.0929615196446</v>
      </c>
      <c r="O12" s="33">
        <v>11.299753275747999</v>
      </c>
      <c r="P12" s="33">
        <v>5588.7932082438965</v>
      </c>
      <c r="Q12" s="56"/>
    </row>
    <row r="13" spans="2:19" s="68" customFormat="1" ht="13.5" customHeight="1" x14ac:dyDescent="0.25">
      <c r="B13" s="79"/>
      <c r="C13" s="7" t="s">
        <v>17</v>
      </c>
      <c r="D13" s="65">
        <v>10290.896668686783</v>
      </c>
      <c r="E13" s="65"/>
      <c r="F13" s="65">
        <v>1494.0819999999983</v>
      </c>
      <c r="G13" s="65">
        <v>1219.5319999999983</v>
      </c>
      <c r="H13" s="65">
        <v>274.54999999999995</v>
      </c>
      <c r="I13" s="65"/>
      <c r="J13" s="65">
        <v>1737.0008400031834</v>
      </c>
      <c r="K13" s="33">
        <v>1014.1745411145432</v>
      </c>
      <c r="L13" s="33">
        <v>722.82629888864017</v>
      </c>
      <c r="M13" s="35"/>
      <c r="N13" s="33">
        <v>7059.8138286836001</v>
      </c>
      <c r="O13" s="33">
        <v>617.42341527041322</v>
      </c>
      <c r="P13" s="33">
        <v>6442.3904134131872</v>
      </c>
      <c r="Q13" s="56"/>
    </row>
    <row r="14" spans="2:19" s="68" customFormat="1" ht="13.5" customHeight="1" x14ac:dyDescent="0.25">
      <c r="B14" s="79"/>
      <c r="C14" s="7" t="s">
        <v>18</v>
      </c>
      <c r="D14" s="65">
        <v>12496.732628985919</v>
      </c>
      <c r="E14" s="65"/>
      <c r="F14" s="65">
        <v>1803.1219999999994</v>
      </c>
      <c r="G14" s="65">
        <v>1729.3629999999994</v>
      </c>
      <c r="H14" s="65">
        <v>73.759000000000015</v>
      </c>
      <c r="I14" s="65"/>
      <c r="J14" s="65">
        <v>1779.7577593888464</v>
      </c>
      <c r="K14" s="33">
        <v>305.48485300033099</v>
      </c>
      <c r="L14" s="33">
        <v>1474.2729063885154</v>
      </c>
      <c r="M14" s="35"/>
      <c r="N14" s="33">
        <v>8913.8528695970726</v>
      </c>
      <c r="O14" s="33">
        <v>171.57499047263735</v>
      </c>
      <c r="P14" s="33">
        <v>8742.2778791244345</v>
      </c>
      <c r="Q14" s="56"/>
    </row>
    <row r="15" spans="2:19" s="68" customFormat="1" ht="13.5" customHeight="1" x14ac:dyDescent="0.25">
      <c r="B15" s="79"/>
      <c r="C15" s="7" t="s">
        <v>19</v>
      </c>
      <c r="D15" s="65">
        <v>15654.592305075073</v>
      </c>
      <c r="E15" s="65"/>
      <c r="F15" s="65">
        <v>1745.2789999999998</v>
      </c>
      <c r="G15" s="65">
        <v>1529.6929999999998</v>
      </c>
      <c r="H15" s="65">
        <v>215.58600000000004</v>
      </c>
      <c r="I15" s="65"/>
      <c r="J15" s="65">
        <v>939.02144425835365</v>
      </c>
      <c r="K15" s="33">
        <v>40.294999879125498</v>
      </c>
      <c r="L15" s="33">
        <v>898.72644437922816</v>
      </c>
      <c r="M15" s="35"/>
      <c r="N15" s="33">
        <v>12970.29186081672</v>
      </c>
      <c r="O15" s="33">
        <v>79.417335499124476</v>
      </c>
      <c r="P15" s="33">
        <v>12890.874525317595</v>
      </c>
      <c r="Q15" s="56"/>
    </row>
    <row r="16" spans="2:19" s="68" customFormat="1" ht="13.5" customHeight="1" x14ac:dyDescent="0.25">
      <c r="B16" s="67"/>
      <c r="C16" s="7" t="s">
        <v>20</v>
      </c>
      <c r="D16" s="65">
        <v>51.446000085591997</v>
      </c>
      <c r="E16" s="65"/>
      <c r="F16" s="65">
        <v>44.546999999999997</v>
      </c>
      <c r="G16" s="65">
        <v>44.546999999999997</v>
      </c>
      <c r="H16" s="65">
        <v>0</v>
      </c>
      <c r="I16" s="65"/>
      <c r="J16" s="65">
        <v>6.8990000855920002</v>
      </c>
      <c r="K16" s="33">
        <v>5.1510000598420005</v>
      </c>
      <c r="L16" s="33">
        <v>1.7480000257499999</v>
      </c>
      <c r="M16" s="35"/>
      <c r="N16" s="33">
        <v>0</v>
      </c>
      <c r="O16" s="33">
        <v>0</v>
      </c>
      <c r="P16" s="33">
        <v>0</v>
      </c>
      <c r="Q16" s="56"/>
    </row>
    <row r="17" spans="2:17" s="68" customFormat="1" ht="13.5" customHeight="1" x14ac:dyDescent="0.25">
      <c r="B17" s="79"/>
      <c r="C17" s="7" t="s">
        <v>21</v>
      </c>
      <c r="D17" s="65">
        <v>17441.849130170922</v>
      </c>
      <c r="E17" s="65"/>
      <c r="F17" s="65">
        <v>2019.856</v>
      </c>
      <c r="G17" s="65">
        <v>1658.1320000000001</v>
      </c>
      <c r="H17" s="65">
        <v>361.72399999999999</v>
      </c>
      <c r="I17" s="65"/>
      <c r="J17" s="65">
        <v>2746.7739401864014</v>
      </c>
      <c r="K17" s="33">
        <v>584.29899898284066</v>
      </c>
      <c r="L17" s="33">
        <v>2162.4749412035608</v>
      </c>
      <c r="M17" s="35"/>
      <c r="N17" s="33">
        <v>12675.21918998452</v>
      </c>
      <c r="O17" s="33">
        <v>328.23300189930069</v>
      </c>
      <c r="P17" s="33">
        <v>12346.986188085219</v>
      </c>
      <c r="Q17" s="56"/>
    </row>
    <row r="18" spans="2:17" s="68" customFormat="1" ht="13.5" customHeight="1" x14ac:dyDescent="0.25">
      <c r="B18" s="79"/>
      <c r="C18" s="7" t="s">
        <v>22</v>
      </c>
      <c r="D18" s="65">
        <v>8300.3951755833223</v>
      </c>
      <c r="E18" s="65"/>
      <c r="F18" s="65">
        <v>1444.393</v>
      </c>
      <c r="G18" s="65">
        <v>1190.902</v>
      </c>
      <c r="H18" s="65">
        <v>253.49100000000001</v>
      </c>
      <c r="I18" s="65"/>
      <c r="J18" s="65">
        <v>2001.8799980361973</v>
      </c>
      <c r="K18" s="33">
        <v>17.312999684453999</v>
      </c>
      <c r="L18" s="33">
        <v>1984.5669983517432</v>
      </c>
      <c r="M18" s="35"/>
      <c r="N18" s="33">
        <v>4854.1221775471258</v>
      </c>
      <c r="O18" s="33">
        <v>0.66000002622599996</v>
      </c>
      <c r="P18" s="33">
        <v>4853.4621775208998</v>
      </c>
      <c r="Q18" s="56"/>
    </row>
    <row r="19" spans="2:17" s="68" customFormat="1" ht="13.5" customHeight="1" x14ac:dyDescent="0.25">
      <c r="B19" s="79"/>
      <c r="C19" s="7" t="s">
        <v>23</v>
      </c>
      <c r="D19" s="65">
        <v>7905.8650358029463</v>
      </c>
      <c r="E19" s="65"/>
      <c r="F19" s="65">
        <v>1281.6270000000002</v>
      </c>
      <c r="G19" s="65">
        <v>929.5870000000001</v>
      </c>
      <c r="H19" s="65">
        <v>352.04</v>
      </c>
      <c r="I19" s="65"/>
      <c r="J19" s="65">
        <v>792.22049779404881</v>
      </c>
      <c r="K19" s="33">
        <v>6.602999918159</v>
      </c>
      <c r="L19" s="33">
        <v>785.61749787588985</v>
      </c>
      <c r="M19" s="35"/>
      <c r="N19" s="33">
        <v>5832.0175380088967</v>
      </c>
      <c r="O19" s="33">
        <v>146.9476870703752</v>
      </c>
      <c r="P19" s="33">
        <v>5685.069850938522</v>
      </c>
      <c r="Q19" s="56"/>
    </row>
    <row r="20" spans="2:17" s="68" customFormat="1" ht="13.5" customHeight="1" x14ac:dyDescent="0.25">
      <c r="B20" s="79"/>
      <c r="C20" s="7" t="s">
        <v>24</v>
      </c>
      <c r="D20" s="65">
        <v>3713.6038891699427</v>
      </c>
      <c r="E20" s="65"/>
      <c r="F20" s="65">
        <v>698.13300000000004</v>
      </c>
      <c r="G20" s="65">
        <v>696.03899999999999</v>
      </c>
      <c r="H20" s="65">
        <v>2.0939999999999999</v>
      </c>
      <c r="I20" s="65"/>
      <c r="J20" s="65">
        <v>747.02499604546188</v>
      </c>
      <c r="K20" s="33">
        <v>64.22599929617401</v>
      </c>
      <c r="L20" s="33">
        <v>682.79899674928788</v>
      </c>
      <c r="M20" s="35"/>
      <c r="N20" s="33">
        <v>2268.4458931244808</v>
      </c>
      <c r="O20" s="33">
        <v>216.10958550057867</v>
      </c>
      <c r="P20" s="33">
        <v>2052.336307623902</v>
      </c>
      <c r="Q20" s="56"/>
    </row>
    <row r="21" spans="2:17" s="68" customFormat="1" ht="13.5" customHeight="1" x14ac:dyDescent="0.25">
      <c r="B21" s="79"/>
      <c r="C21" s="7" t="s">
        <v>25</v>
      </c>
      <c r="D21" s="65">
        <v>12034.94851290836</v>
      </c>
      <c r="E21" s="65"/>
      <c r="F21" s="65">
        <v>1789.6379999999999</v>
      </c>
      <c r="G21" s="65">
        <v>1074.4550000000002</v>
      </c>
      <c r="H21" s="65">
        <v>715.18299999999988</v>
      </c>
      <c r="I21" s="65"/>
      <c r="J21" s="65">
        <v>1115.2311909296234</v>
      </c>
      <c r="K21" s="33">
        <v>75.714000236234824</v>
      </c>
      <c r="L21" s="33">
        <v>1039.5171906933886</v>
      </c>
      <c r="M21" s="35"/>
      <c r="N21" s="33">
        <v>9130.0793219787374</v>
      </c>
      <c r="O21" s="33">
        <v>339.64593483089453</v>
      </c>
      <c r="P21" s="33">
        <v>8790.433387147843</v>
      </c>
      <c r="Q21" s="56"/>
    </row>
    <row r="22" spans="2:17" s="68" customFormat="1" ht="13.5" customHeight="1" x14ac:dyDescent="0.25">
      <c r="B22" s="79"/>
      <c r="C22" s="7" t="s">
        <v>26</v>
      </c>
      <c r="D22" s="65">
        <v>8879.3255522883319</v>
      </c>
      <c r="E22" s="65"/>
      <c r="F22" s="65">
        <v>1335.3849999999998</v>
      </c>
      <c r="G22" s="65">
        <v>949.88699999999972</v>
      </c>
      <c r="H22" s="65">
        <v>385.49800000000005</v>
      </c>
      <c r="I22" s="65"/>
      <c r="J22" s="65">
        <v>1935.6561681167932</v>
      </c>
      <c r="K22" s="33">
        <v>106.804000421056</v>
      </c>
      <c r="L22" s="33">
        <v>1828.8521676957373</v>
      </c>
      <c r="M22" s="35"/>
      <c r="N22" s="33">
        <v>5608.2843841715385</v>
      </c>
      <c r="O22" s="33">
        <v>161.90000087024896</v>
      </c>
      <c r="P22" s="33">
        <v>5446.3843833012897</v>
      </c>
      <c r="Q22" s="56"/>
    </row>
    <row r="23" spans="2:17" s="68" customFormat="1" ht="13.5" customHeight="1" x14ac:dyDescent="0.25">
      <c r="B23" s="79"/>
      <c r="C23" s="7" t="s">
        <v>27</v>
      </c>
      <c r="D23" s="65">
        <v>3260.0628332744095</v>
      </c>
      <c r="E23" s="65"/>
      <c r="F23" s="65">
        <v>516.00300000000004</v>
      </c>
      <c r="G23" s="65">
        <v>450.56400000000008</v>
      </c>
      <c r="H23" s="65">
        <v>65.438999999999993</v>
      </c>
      <c r="I23" s="65"/>
      <c r="J23" s="65">
        <v>689.72895025192247</v>
      </c>
      <c r="K23" s="33">
        <v>210.04235132772618</v>
      </c>
      <c r="L23" s="33">
        <v>479.68659892419623</v>
      </c>
      <c r="M23" s="35"/>
      <c r="N23" s="33">
        <v>2054.3308830224869</v>
      </c>
      <c r="O23" s="33">
        <v>27.550000309939996</v>
      </c>
      <c r="P23" s="33">
        <v>2026.7808827125471</v>
      </c>
      <c r="Q23" s="56"/>
    </row>
    <row r="24" spans="2:17" s="68" customFormat="1" ht="13.5" customHeight="1" x14ac:dyDescent="0.25">
      <c r="B24" s="79"/>
      <c r="C24" s="7" t="s">
        <v>28</v>
      </c>
      <c r="D24" s="65">
        <v>7605.8537161491395</v>
      </c>
      <c r="E24" s="65"/>
      <c r="F24" s="65">
        <v>1683.6170000000002</v>
      </c>
      <c r="G24" s="65">
        <v>1373.5620000000001</v>
      </c>
      <c r="H24" s="65">
        <v>310.05500000000001</v>
      </c>
      <c r="I24" s="65"/>
      <c r="J24" s="65">
        <v>1598.9292599177413</v>
      </c>
      <c r="K24" s="33">
        <v>191.85700253858414</v>
      </c>
      <c r="L24" s="33">
        <v>1407.0722573791572</v>
      </c>
      <c r="M24" s="35"/>
      <c r="N24" s="33">
        <v>4323.3074562313977</v>
      </c>
      <c r="O24" s="33">
        <v>160.04828530229096</v>
      </c>
      <c r="P24" s="33">
        <v>4163.2591709291064</v>
      </c>
      <c r="Q24" s="56"/>
    </row>
    <row r="25" spans="2:17" s="68" customFormat="1" ht="13.5" customHeight="1" x14ac:dyDescent="0.25">
      <c r="B25" s="79"/>
      <c r="C25" s="7" t="s">
        <v>29</v>
      </c>
      <c r="D25" s="65">
        <v>903.94800029597809</v>
      </c>
      <c r="E25" s="65"/>
      <c r="F25" s="65">
        <v>128.87099999999998</v>
      </c>
      <c r="G25" s="65">
        <v>88.611999999999995</v>
      </c>
      <c r="H25" s="65">
        <v>40.259</v>
      </c>
      <c r="I25" s="65"/>
      <c r="J25" s="65">
        <v>320.74699780133903</v>
      </c>
      <c r="K25" s="33">
        <v>97.167001096749999</v>
      </c>
      <c r="L25" s="33">
        <v>223.57999670458904</v>
      </c>
      <c r="M25" s="35"/>
      <c r="N25" s="33">
        <v>454.33000249463907</v>
      </c>
      <c r="O25" s="33">
        <v>60.6300006039801</v>
      </c>
      <c r="P25" s="33">
        <v>393.700001890659</v>
      </c>
      <c r="Q25" s="56"/>
    </row>
    <row r="26" spans="2:17" s="68" customFormat="1" ht="13.5" customHeight="1" x14ac:dyDescent="0.25">
      <c r="B26" s="79"/>
      <c r="C26" s="7" t="s">
        <v>30</v>
      </c>
      <c r="D26" s="65">
        <v>2017.8619986285728</v>
      </c>
      <c r="E26" s="65"/>
      <c r="F26" s="65">
        <v>400.35300000000001</v>
      </c>
      <c r="G26" s="65">
        <v>400.35300000000001</v>
      </c>
      <c r="H26" s="65">
        <v>0</v>
      </c>
      <c r="I26" s="65"/>
      <c r="J26" s="65">
        <v>339.92999874735801</v>
      </c>
      <c r="K26" s="33">
        <v>1.8650000691419999</v>
      </c>
      <c r="L26" s="33">
        <v>338.064998678216</v>
      </c>
      <c r="M26" s="35"/>
      <c r="N26" s="33">
        <v>1277.5789998812147</v>
      </c>
      <c r="O26" s="33">
        <v>6.4050000607950004</v>
      </c>
      <c r="P26" s="33">
        <v>1271.1739998204198</v>
      </c>
      <c r="Q26" s="56"/>
    </row>
    <row r="27" spans="2:17" s="68" customFormat="1" ht="13.5" customHeight="1" x14ac:dyDescent="0.25">
      <c r="B27" s="79"/>
      <c r="C27" s="7" t="s">
        <v>31</v>
      </c>
      <c r="D27" s="65">
        <v>2914.7081156918321</v>
      </c>
      <c r="E27" s="65"/>
      <c r="F27" s="65">
        <v>470.28500000000008</v>
      </c>
      <c r="G27" s="65">
        <v>470.28500000000008</v>
      </c>
      <c r="H27" s="65">
        <v>0</v>
      </c>
      <c r="I27" s="65"/>
      <c r="J27" s="65">
        <v>904.18700109230872</v>
      </c>
      <c r="K27" s="33">
        <v>239.09300138264121</v>
      </c>
      <c r="L27" s="33">
        <v>665.09399970966751</v>
      </c>
      <c r="M27" s="35"/>
      <c r="N27" s="33">
        <v>1540.2361145995233</v>
      </c>
      <c r="O27" s="33">
        <v>152.95425816812178</v>
      </c>
      <c r="P27" s="33">
        <v>1387.2818564314016</v>
      </c>
      <c r="Q27" s="56"/>
    </row>
    <row r="28" spans="2:17" s="68" customFormat="1" ht="13.5" customHeight="1" x14ac:dyDescent="0.25">
      <c r="B28" s="79"/>
      <c r="C28" s="7" t="s">
        <v>32</v>
      </c>
      <c r="D28" s="65">
        <v>3564.5304547479627</v>
      </c>
      <c r="E28" s="65"/>
      <c r="F28" s="65">
        <v>563.346</v>
      </c>
      <c r="G28" s="65">
        <v>373.76099999999997</v>
      </c>
      <c r="H28" s="65">
        <v>189.58500000000001</v>
      </c>
      <c r="I28" s="65"/>
      <c r="J28" s="65">
        <v>910.59678048620503</v>
      </c>
      <c r="K28" s="33">
        <v>34.195149732789304</v>
      </c>
      <c r="L28" s="33">
        <v>876.4016307534157</v>
      </c>
      <c r="M28" s="35"/>
      <c r="N28" s="33">
        <v>2090.5876742617579</v>
      </c>
      <c r="O28" s="33">
        <v>13.273904947669999</v>
      </c>
      <c r="P28" s="33">
        <v>2077.3137693140879</v>
      </c>
      <c r="Q28" s="56"/>
    </row>
    <row r="29" spans="2:17" s="68" customFormat="1" ht="13.5" customHeight="1" x14ac:dyDescent="0.25">
      <c r="B29" s="79"/>
      <c r="C29" s="7" t="s">
        <v>34</v>
      </c>
      <c r="D29" s="65">
        <v>8960.8771111738715</v>
      </c>
      <c r="E29" s="65"/>
      <c r="F29" s="65">
        <v>1774.6689999999996</v>
      </c>
      <c r="G29" s="65">
        <v>1669.2189999999996</v>
      </c>
      <c r="H29" s="65">
        <v>105.44999999999999</v>
      </c>
      <c r="I29" s="65"/>
      <c r="J29" s="65">
        <v>638.19100226812532</v>
      </c>
      <c r="K29" s="33">
        <v>170.0409998837703</v>
      </c>
      <c r="L29" s="33">
        <v>468.15000238435505</v>
      </c>
      <c r="M29" s="35"/>
      <c r="N29" s="33">
        <v>6548.0171089057467</v>
      </c>
      <c r="O29" s="33">
        <v>355.45900108754967</v>
      </c>
      <c r="P29" s="33">
        <v>6192.5581078181967</v>
      </c>
      <c r="Q29" s="56"/>
    </row>
    <row r="30" spans="2:17" s="68" customFormat="1" ht="13.5" customHeight="1" x14ac:dyDescent="0.25">
      <c r="B30" s="79"/>
      <c r="C30" s="7" t="s">
        <v>35</v>
      </c>
      <c r="D30" s="65">
        <v>13613.435520740179</v>
      </c>
      <c r="E30" s="65"/>
      <c r="F30" s="65">
        <v>2018.8929999999996</v>
      </c>
      <c r="G30" s="65">
        <v>1804.3299999999997</v>
      </c>
      <c r="H30" s="65">
        <v>214.56299999999999</v>
      </c>
      <c r="I30" s="65"/>
      <c r="J30" s="65">
        <v>2356.7894060728604</v>
      </c>
      <c r="K30" s="33">
        <v>1368.9095166712732</v>
      </c>
      <c r="L30" s="33">
        <v>987.87988940158698</v>
      </c>
      <c r="M30" s="35"/>
      <c r="N30" s="33">
        <v>9237.7531146673191</v>
      </c>
      <c r="O30" s="33">
        <v>86.301467887170602</v>
      </c>
      <c r="P30" s="33">
        <v>9151.4516467801477</v>
      </c>
      <c r="Q30" s="56"/>
    </row>
    <row r="31" spans="2:17" s="68" customFormat="1" ht="13.5" customHeight="1" x14ac:dyDescent="0.25">
      <c r="B31" s="79"/>
      <c r="C31" s="7" t="s">
        <v>36</v>
      </c>
      <c r="D31" s="65">
        <v>5565.757653774599</v>
      </c>
      <c r="E31" s="65"/>
      <c r="F31" s="65">
        <v>815.44199999999989</v>
      </c>
      <c r="G31" s="65">
        <v>770.9559999999999</v>
      </c>
      <c r="H31" s="65">
        <v>44.486000000000004</v>
      </c>
      <c r="I31" s="65"/>
      <c r="J31" s="65">
        <v>965.30600151706187</v>
      </c>
      <c r="K31" s="33">
        <v>192.67199969656994</v>
      </c>
      <c r="L31" s="33">
        <v>772.6340018204919</v>
      </c>
      <c r="M31" s="35"/>
      <c r="N31" s="39">
        <v>3785.0096522575368</v>
      </c>
      <c r="O31" s="33">
        <v>2.4811180281008003</v>
      </c>
      <c r="P31" s="33">
        <v>3782.528534229436</v>
      </c>
      <c r="Q31" s="56"/>
    </row>
    <row r="32" spans="2:17" s="68" customFormat="1" ht="13.5" customHeight="1" x14ac:dyDescent="0.25">
      <c r="B32" s="79"/>
      <c r="C32" s="7" t="s">
        <v>37</v>
      </c>
      <c r="D32" s="65">
        <v>2656.3089396206651</v>
      </c>
      <c r="E32" s="65"/>
      <c r="F32" s="65">
        <v>631.05299999999988</v>
      </c>
      <c r="G32" s="65">
        <v>580.05899999999986</v>
      </c>
      <c r="H32" s="65">
        <v>50.993999999999993</v>
      </c>
      <c r="I32" s="65"/>
      <c r="J32" s="65">
        <v>493.094703230589</v>
      </c>
      <c r="K32" s="33">
        <v>157.68000078202999</v>
      </c>
      <c r="L32" s="33">
        <v>335.41470244855901</v>
      </c>
      <c r="M32" s="35"/>
      <c r="N32" s="39">
        <v>1532.1612363900763</v>
      </c>
      <c r="O32" s="33">
        <v>234.6070047088707</v>
      </c>
      <c r="P32" s="33">
        <v>1297.5542316812057</v>
      </c>
      <c r="Q32" s="56"/>
    </row>
    <row r="33" spans="2:19" s="68" customFormat="1" ht="13.5" customHeight="1" x14ac:dyDescent="0.25">
      <c r="B33" s="79"/>
      <c r="C33" s="7" t="s">
        <v>38</v>
      </c>
      <c r="D33" s="65">
        <v>1002.7835621845281</v>
      </c>
      <c r="E33" s="65"/>
      <c r="F33" s="65">
        <v>138.47399999999999</v>
      </c>
      <c r="G33" s="65">
        <v>138.47399999999999</v>
      </c>
      <c r="H33" s="65">
        <v>0</v>
      </c>
      <c r="I33" s="65"/>
      <c r="J33" s="65">
        <v>287.47656413299603</v>
      </c>
      <c r="K33" s="33">
        <v>99.030001305404994</v>
      </c>
      <c r="L33" s="33">
        <v>188.44656282759101</v>
      </c>
      <c r="M33" s="35"/>
      <c r="N33" s="39">
        <v>576.83299805153217</v>
      </c>
      <c r="O33" s="33">
        <v>38.619999795710001</v>
      </c>
      <c r="P33" s="33">
        <v>538.21299825582219</v>
      </c>
      <c r="Q33" s="56"/>
    </row>
    <row r="34" spans="2:19" s="68" customFormat="1" ht="13.5" customHeight="1" thickBot="1" x14ac:dyDescent="0.3">
      <c r="B34" s="79"/>
      <c r="C34" s="13" t="s">
        <v>39</v>
      </c>
      <c r="D34" s="42">
        <v>2533.7573062299216</v>
      </c>
      <c r="E34" s="42"/>
      <c r="F34" s="42">
        <v>322.86099999999999</v>
      </c>
      <c r="G34" s="42">
        <v>219.04799999999997</v>
      </c>
      <c r="H34" s="42">
        <v>103.813</v>
      </c>
      <c r="I34" s="42"/>
      <c r="J34" s="42">
        <v>1315.7043077146598</v>
      </c>
      <c r="K34" s="42">
        <v>5.5460000038099997</v>
      </c>
      <c r="L34" s="42">
        <v>1310.1583077108498</v>
      </c>
      <c r="M34" s="42"/>
      <c r="N34" s="42">
        <v>895.19199851526184</v>
      </c>
      <c r="O34" s="42">
        <v>2.3200000375520005</v>
      </c>
      <c r="P34" s="42">
        <v>892.87199847770989</v>
      </c>
      <c r="Q34" s="56"/>
    </row>
    <row r="35" spans="2:19" s="1" customFormat="1" ht="3" customHeight="1" x14ac:dyDescent="0.3">
      <c r="C35" s="89"/>
      <c r="D35" s="15"/>
      <c r="E35" s="15"/>
      <c r="F35" s="15"/>
      <c r="G35" s="15"/>
      <c r="H35" s="15"/>
      <c r="I35" s="15"/>
      <c r="J35" s="15"/>
      <c r="K35" s="15"/>
      <c r="L35" s="15"/>
      <c r="M35" s="15"/>
      <c r="N35" s="15"/>
      <c r="O35" s="15"/>
      <c r="P35" s="94"/>
      <c r="Q35" s="56"/>
      <c r="R35" s="85"/>
      <c r="S35" s="85"/>
    </row>
    <row r="36" spans="2:19" s="85" customFormat="1" x14ac:dyDescent="0.25">
      <c r="C36" s="203" t="s">
        <v>131</v>
      </c>
      <c r="D36" s="203"/>
      <c r="E36" s="203"/>
      <c r="F36" s="203"/>
      <c r="G36" s="203"/>
      <c r="H36" s="203"/>
      <c r="I36" s="203"/>
      <c r="J36" s="203"/>
      <c r="K36" s="203"/>
      <c r="L36" s="203"/>
      <c r="M36" s="203"/>
      <c r="N36" s="203"/>
      <c r="O36" s="203"/>
      <c r="P36" s="203"/>
    </row>
    <row r="37" spans="2:19" s="85" customFormat="1" ht="15.75" customHeight="1" x14ac:dyDescent="0.25">
      <c r="C37" s="203" t="s">
        <v>113</v>
      </c>
      <c r="D37" s="203"/>
      <c r="E37" s="203"/>
      <c r="F37" s="203"/>
      <c r="G37" s="203"/>
      <c r="H37" s="203"/>
      <c r="I37" s="203"/>
      <c r="J37" s="203"/>
      <c r="K37" s="203"/>
      <c r="L37" s="203"/>
      <c r="M37" s="203"/>
      <c r="N37" s="203"/>
      <c r="O37" s="203"/>
      <c r="P37" s="203"/>
    </row>
    <row r="38" spans="2:19" s="85" customFormat="1" ht="16.5" customHeight="1" x14ac:dyDescent="0.25">
      <c r="C38" s="203" t="s">
        <v>223</v>
      </c>
      <c r="D38" s="203"/>
      <c r="E38" s="203"/>
      <c r="F38" s="203"/>
      <c r="G38" s="203"/>
      <c r="H38" s="203"/>
      <c r="I38" s="203"/>
      <c r="J38" s="203"/>
      <c r="K38" s="203"/>
      <c r="L38" s="203"/>
      <c r="M38" s="203"/>
      <c r="N38" s="203"/>
      <c r="O38" s="203"/>
      <c r="P38" s="203"/>
    </row>
    <row r="39" spans="2:19" s="85" customFormat="1" x14ac:dyDescent="0.25">
      <c r="C39" s="203" t="s">
        <v>43</v>
      </c>
      <c r="D39" s="203"/>
      <c r="E39" s="203"/>
      <c r="F39" s="203"/>
      <c r="G39" s="203"/>
      <c r="H39" s="203"/>
      <c r="I39" s="203"/>
      <c r="J39" s="203"/>
      <c r="K39" s="203"/>
      <c r="L39" s="203"/>
      <c r="M39" s="203"/>
      <c r="N39" s="203"/>
      <c r="O39" s="203"/>
      <c r="P39" s="203"/>
    </row>
    <row r="40" spans="2:19" s="1" customFormat="1" x14ac:dyDescent="0.3"/>
    <row r="41" spans="2:19" s="1" customFormat="1" x14ac:dyDescent="0.3"/>
    <row r="42" spans="2:19" s="82" customFormat="1" ht="30" customHeight="1" x14ac:dyDescent="0.25">
      <c r="C42" s="145" t="s">
        <v>219</v>
      </c>
      <c r="D42" s="145"/>
      <c r="E42" s="145"/>
      <c r="F42" s="145"/>
      <c r="G42" s="145"/>
      <c r="H42" s="145"/>
      <c r="I42" s="145"/>
      <c r="J42" s="145"/>
      <c r="K42" s="145"/>
      <c r="L42" s="145"/>
      <c r="M42" s="145"/>
      <c r="N42" s="145"/>
      <c r="O42" s="145"/>
      <c r="P42" s="145"/>
    </row>
    <row r="43" spans="2:19" s="1" customFormat="1" ht="16.5" customHeight="1" x14ac:dyDescent="0.3">
      <c r="C43" s="146" t="s">
        <v>132</v>
      </c>
      <c r="D43" s="146"/>
      <c r="E43" s="146"/>
      <c r="F43" s="146"/>
      <c r="G43" s="146"/>
      <c r="H43" s="146"/>
      <c r="I43" s="146"/>
      <c r="J43" s="146"/>
      <c r="K43" s="146"/>
      <c r="L43" s="146"/>
      <c r="M43" s="146"/>
      <c r="N43" s="146"/>
      <c r="O43" s="146"/>
      <c r="P43" s="146"/>
      <c r="Q43" s="91"/>
    </row>
    <row r="44" spans="2:19" s="1" customFormat="1" x14ac:dyDescent="0.3">
      <c r="P44" s="59"/>
    </row>
    <row r="45" spans="2:19" s="1" customFormat="1" ht="17.25" customHeight="1" thickBot="1" x14ac:dyDescent="0.35">
      <c r="C45" s="144" t="s">
        <v>2</v>
      </c>
      <c r="D45" s="144"/>
      <c r="E45" s="144"/>
      <c r="F45" s="144"/>
      <c r="G45" s="144"/>
      <c r="H45" s="144"/>
      <c r="I45" s="144"/>
      <c r="J45" s="144"/>
      <c r="K45" s="144"/>
      <c r="L45" s="144"/>
      <c r="M45" s="144"/>
      <c r="N45" s="144"/>
      <c r="O45" s="144"/>
      <c r="P45" s="144"/>
    </row>
    <row r="46" spans="2:19" s="1" customFormat="1" ht="21.75" customHeight="1" x14ac:dyDescent="0.3">
      <c r="C46" s="3" t="s">
        <v>3</v>
      </c>
      <c r="D46" s="149" t="s">
        <v>212</v>
      </c>
      <c r="E46" s="54"/>
      <c r="F46" s="151" t="s">
        <v>5</v>
      </c>
      <c r="G46" s="151"/>
      <c r="H46" s="151"/>
      <c r="I46" s="3"/>
      <c r="J46" s="151" t="s">
        <v>213</v>
      </c>
      <c r="K46" s="151"/>
      <c r="L46" s="151"/>
      <c r="M46" s="3"/>
      <c r="N46" s="151" t="s">
        <v>214</v>
      </c>
      <c r="O46" s="151"/>
      <c r="P46" s="151"/>
    </row>
    <row r="47" spans="2:19" s="1" customFormat="1" ht="26.25" thickBot="1" x14ac:dyDescent="0.35">
      <c r="C47" s="101"/>
      <c r="D47" s="150"/>
      <c r="E47" s="5"/>
      <c r="F47" s="4" t="s">
        <v>8</v>
      </c>
      <c r="G47" s="4" t="s">
        <v>9</v>
      </c>
      <c r="H47" s="4" t="s">
        <v>10</v>
      </c>
      <c r="I47" s="5"/>
      <c r="J47" s="4" t="s">
        <v>11</v>
      </c>
      <c r="K47" s="4" t="s">
        <v>12</v>
      </c>
      <c r="L47" s="4" t="s">
        <v>10</v>
      </c>
      <c r="M47" s="5"/>
      <c r="N47" s="4" t="s">
        <v>11</v>
      </c>
      <c r="O47" s="4" t="s">
        <v>12</v>
      </c>
      <c r="P47" s="4" t="s">
        <v>10</v>
      </c>
    </row>
    <row r="48" spans="2:19" s="1" customFormat="1" ht="20.25" customHeight="1" x14ac:dyDescent="0.3">
      <c r="C48" s="92" t="s">
        <v>13</v>
      </c>
      <c r="D48" s="93">
        <v>174107.78580000004</v>
      </c>
      <c r="E48" s="93"/>
      <c r="F48" s="93">
        <v>27430.888999999999</v>
      </c>
      <c r="G48" s="93">
        <v>22692.297999999992</v>
      </c>
      <c r="H48" s="93">
        <v>4738.5909999999994</v>
      </c>
      <c r="I48" s="93"/>
      <c r="J48" s="93">
        <v>27721.871800000001</v>
      </c>
      <c r="K48" s="93">
        <v>6295.3600999999999</v>
      </c>
      <c r="L48" s="93">
        <v>21426.511700000006</v>
      </c>
      <c r="M48" s="93"/>
      <c r="N48" s="93">
        <v>118955.02500000004</v>
      </c>
      <c r="O48" s="93">
        <v>4165.3100000000004</v>
      </c>
      <c r="P48" s="93">
        <v>114789.71500000003</v>
      </c>
    </row>
    <row r="49" spans="2:17" s="68" customFormat="1" ht="13.5" customHeight="1" x14ac:dyDescent="0.25">
      <c r="B49" s="79"/>
      <c r="C49" s="11" t="s">
        <v>14</v>
      </c>
      <c r="D49" s="65">
        <v>3610.0730000000003</v>
      </c>
      <c r="E49" s="65"/>
      <c r="F49" s="65">
        <v>1155.7150000000001</v>
      </c>
      <c r="G49" s="65">
        <v>849.42200000000003</v>
      </c>
      <c r="H49" s="65">
        <v>306.29300000000001</v>
      </c>
      <c r="I49" s="65"/>
      <c r="J49" s="65">
        <v>584.03199999999993</v>
      </c>
      <c r="K49" s="33">
        <v>115.43</v>
      </c>
      <c r="L49" s="33">
        <v>468.60199999999998</v>
      </c>
      <c r="M49" s="35"/>
      <c r="N49" s="33">
        <v>1870.3260000000002</v>
      </c>
      <c r="O49" s="33">
        <v>0</v>
      </c>
      <c r="P49" s="33">
        <v>1870.3260000000002</v>
      </c>
      <c r="Q49" s="56"/>
    </row>
    <row r="50" spans="2:17" s="68" customFormat="1" ht="13.5" customHeight="1" x14ac:dyDescent="0.25">
      <c r="B50" s="79"/>
      <c r="C50" s="7" t="s">
        <v>15</v>
      </c>
      <c r="D50" s="65">
        <v>10734.455000000002</v>
      </c>
      <c r="E50" s="65"/>
      <c r="F50" s="65">
        <v>1884.9260000000002</v>
      </c>
      <c r="G50" s="65">
        <v>1436.0330000000001</v>
      </c>
      <c r="H50" s="65">
        <v>448.89300000000009</v>
      </c>
      <c r="I50" s="65"/>
      <c r="J50" s="65">
        <v>1222.7209999999995</v>
      </c>
      <c r="K50" s="33">
        <v>526.66199999999981</v>
      </c>
      <c r="L50" s="33">
        <v>696.05899999999986</v>
      </c>
      <c r="M50" s="35"/>
      <c r="N50" s="33">
        <v>7626.8080000000009</v>
      </c>
      <c r="O50" s="33">
        <v>178.64499999999998</v>
      </c>
      <c r="P50" s="33">
        <v>7448.1630000000014</v>
      </c>
      <c r="Q50" s="56"/>
    </row>
    <row r="51" spans="2:17" s="68" customFormat="1" ht="13.5" customHeight="1" x14ac:dyDescent="0.25">
      <c r="B51" s="79"/>
      <c r="C51" s="7" t="s">
        <v>16</v>
      </c>
      <c r="D51" s="65">
        <v>8209.8430000000008</v>
      </c>
      <c r="E51" s="65"/>
      <c r="F51" s="65">
        <v>1283.575</v>
      </c>
      <c r="G51" s="65">
        <v>1048.7620000000002</v>
      </c>
      <c r="H51" s="65">
        <v>234.81299999999996</v>
      </c>
      <c r="I51" s="65"/>
      <c r="J51" s="65">
        <v>1298.8229999999999</v>
      </c>
      <c r="K51" s="33">
        <v>249.35399999999998</v>
      </c>
      <c r="L51" s="33">
        <v>1049.4689999999998</v>
      </c>
      <c r="M51" s="35"/>
      <c r="N51" s="33">
        <v>5627.4450000000015</v>
      </c>
      <c r="O51" s="33">
        <v>125.67</v>
      </c>
      <c r="P51" s="33">
        <v>5501.7750000000015</v>
      </c>
      <c r="Q51" s="56"/>
    </row>
    <row r="52" spans="2:17" s="68" customFormat="1" ht="13.5" customHeight="1" x14ac:dyDescent="0.25">
      <c r="B52" s="79"/>
      <c r="C52" s="7" t="s">
        <v>17</v>
      </c>
      <c r="D52" s="65">
        <v>10286.585000000001</v>
      </c>
      <c r="E52" s="65"/>
      <c r="F52" s="65">
        <v>1494.0819999999997</v>
      </c>
      <c r="G52" s="65">
        <v>1219.5319999999997</v>
      </c>
      <c r="H52" s="65">
        <v>274.54999999999995</v>
      </c>
      <c r="I52" s="65"/>
      <c r="J52" s="65">
        <v>1732.3959999999997</v>
      </c>
      <c r="K52" s="33">
        <v>1014.1779999999999</v>
      </c>
      <c r="L52" s="33">
        <v>718.21799999999996</v>
      </c>
      <c r="M52" s="35"/>
      <c r="N52" s="33">
        <v>7060.1070000000018</v>
      </c>
      <c r="O52" s="33">
        <v>617.48100000000022</v>
      </c>
      <c r="P52" s="33">
        <v>6442.626000000002</v>
      </c>
      <c r="Q52" s="56"/>
    </row>
    <row r="53" spans="2:17" s="68" customFormat="1" ht="13.5" customHeight="1" x14ac:dyDescent="0.25">
      <c r="B53" s="79"/>
      <c r="C53" s="7" t="s">
        <v>18</v>
      </c>
      <c r="D53" s="65">
        <v>12518.861000000001</v>
      </c>
      <c r="E53" s="65"/>
      <c r="F53" s="65">
        <v>1803.122000000001</v>
      </c>
      <c r="G53" s="65">
        <v>1729.363000000001</v>
      </c>
      <c r="H53" s="65">
        <v>73.759000000000015</v>
      </c>
      <c r="I53" s="65"/>
      <c r="J53" s="65">
        <v>1779.7570000000001</v>
      </c>
      <c r="K53" s="33">
        <v>305.48399999999992</v>
      </c>
      <c r="L53" s="33">
        <v>1474.2730000000001</v>
      </c>
      <c r="M53" s="35"/>
      <c r="N53" s="33">
        <v>8935.982</v>
      </c>
      <c r="O53" s="33">
        <v>229.89399999999995</v>
      </c>
      <c r="P53" s="33">
        <v>8706.0879999999997</v>
      </c>
      <c r="Q53" s="56"/>
    </row>
    <row r="54" spans="2:17" s="68" customFormat="1" ht="13.5" customHeight="1" x14ac:dyDescent="0.25">
      <c r="B54" s="79"/>
      <c r="C54" s="99" t="s">
        <v>19</v>
      </c>
      <c r="D54" s="65">
        <v>15642.787000000026</v>
      </c>
      <c r="E54" s="65"/>
      <c r="F54" s="65">
        <v>1733.952</v>
      </c>
      <c r="G54" s="65">
        <v>1529.693</v>
      </c>
      <c r="H54" s="65">
        <v>204.25899999999996</v>
      </c>
      <c r="I54" s="65"/>
      <c r="J54" s="65">
        <v>935.53499999999997</v>
      </c>
      <c r="K54" s="33">
        <v>56.916999999999994</v>
      </c>
      <c r="L54" s="33">
        <v>878.61799999999994</v>
      </c>
      <c r="M54" s="65"/>
      <c r="N54" s="33">
        <v>12973.300000000025</v>
      </c>
      <c r="O54" s="33">
        <v>244.28300000000002</v>
      </c>
      <c r="P54" s="33">
        <v>12729.017000000025</v>
      </c>
      <c r="Q54" s="140"/>
    </row>
    <row r="55" spans="2:17" s="68" customFormat="1" ht="13.5" customHeight="1" x14ac:dyDescent="0.25">
      <c r="B55" s="67"/>
      <c r="C55" s="99" t="s">
        <v>20</v>
      </c>
      <c r="D55" s="65">
        <v>51.445999999999998</v>
      </c>
      <c r="E55" s="65"/>
      <c r="F55" s="65">
        <v>44.546999999999997</v>
      </c>
      <c r="G55" s="65">
        <v>44.546999999999997</v>
      </c>
      <c r="H55" s="65">
        <v>0</v>
      </c>
      <c r="I55" s="65"/>
      <c r="J55" s="65">
        <v>6.8990000000000009</v>
      </c>
      <c r="K55" s="33">
        <v>5.1510000000000007</v>
      </c>
      <c r="L55" s="33">
        <v>1.748</v>
      </c>
      <c r="M55" s="65"/>
      <c r="N55" s="33">
        <v>0</v>
      </c>
      <c r="O55" s="33">
        <v>0</v>
      </c>
      <c r="P55" s="33">
        <v>0</v>
      </c>
      <c r="Q55" s="140"/>
    </row>
    <row r="56" spans="2:17" s="68" customFormat="1" ht="13.5" customHeight="1" x14ac:dyDescent="0.25">
      <c r="B56" s="79"/>
      <c r="C56" s="99" t="s">
        <v>21</v>
      </c>
      <c r="D56" s="65">
        <v>17441.84610000001</v>
      </c>
      <c r="E56" s="65"/>
      <c r="F56" s="65">
        <v>2019.8559999999991</v>
      </c>
      <c r="G56" s="65">
        <v>1658.1319999999992</v>
      </c>
      <c r="H56" s="65">
        <v>361.72399999999999</v>
      </c>
      <c r="I56" s="65"/>
      <c r="J56" s="65">
        <v>2746.7671000000009</v>
      </c>
      <c r="K56" s="33">
        <v>769.83100000000013</v>
      </c>
      <c r="L56" s="33">
        <v>1976.9361000000006</v>
      </c>
      <c r="M56" s="65"/>
      <c r="N56" s="33">
        <v>12675.223000000011</v>
      </c>
      <c r="O56" s="33">
        <v>358.91900000000015</v>
      </c>
      <c r="P56" s="33">
        <v>12316.304000000011</v>
      </c>
      <c r="Q56" s="140"/>
    </row>
    <row r="57" spans="2:17" s="68" customFormat="1" ht="13.5" customHeight="1" x14ac:dyDescent="0.25">
      <c r="B57" s="79"/>
      <c r="C57" s="99" t="s">
        <v>22</v>
      </c>
      <c r="D57" s="65">
        <v>8303.2889999999989</v>
      </c>
      <c r="E57" s="65"/>
      <c r="F57" s="65">
        <v>1444.393</v>
      </c>
      <c r="G57" s="65">
        <v>1190.902</v>
      </c>
      <c r="H57" s="65">
        <v>253.49100000000004</v>
      </c>
      <c r="I57" s="65"/>
      <c r="J57" s="65">
        <v>2004.1660000000002</v>
      </c>
      <c r="K57" s="33">
        <v>86.591999999999985</v>
      </c>
      <c r="L57" s="33">
        <v>1917.5740000000001</v>
      </c>
      <c r="M57" s="65"/>
      <c r="N57" s="33">
        <v>4854.7299999999987</v>
      </c>
      <c r="O57" s="33">
        <v>22.15</v>
      </c>
      <c r="P57" s="33">
        <v>4832.579999999999</v>
      </c>
      <c r="Q57" s="140"/>
    </row>
    <row r="58" spans="2:17" s="68" customFormat="1" ht="13.5" customHeight="1" x14ac:dyDescent="0.25">
      <c r="B58" s="79"/>
      <c r="C58" s="99" t="s">
        <v>23</v>
      </c>
      <c r="D58" s="65">
        <v>7907.235999999999</v>
      </c>
      <c r="E58" s="65"/>
      <c r="F58" s="65">
        <v>1282.9870000000001</v>
      </c>
      <c r="G58" s="65">
        <v>929.59699999999998</v>
      </c>
      <c r="H58" s="65">
        <v>353.39000000000004</v>
      </c>
      <c r="I58" s="65"/>
      <c r="J58" s="65">
        <v>792.22099999999978</v>
      </c>
      <c r="K58" s="33">
        <v>6.6029999999999998</v>
      </c>
      <c r="L58" s="33">
        <v>785.61799999999982</v>
      </c>
      <c r="M58" s="65"/>
      <c r="N58" s="33">
        <v>5832.0279999999993</v>
      </c>
      <c r="O58" s="33">
        <v>146.95099999999999</v>
      </c>
      <c r="P58" s="33">
        <v>5685.0769999999993</v>
      </c>
      <c r="Q58" s="140"/>
    </row>
    <row r="59" spans="2:17" s="68" customFormat="1" ht="13.5" customHeight="1" x14ac:dyDescent="0.25">
      <c r="B59" s="79"/>
      <c r="C59" s="99" t="s">
        <v>24</v>
      </c>
      <c r="D59" s="65">
        <v>3713.7910000000002</v>
      </c>
      <c r="E59" s="65"/>
      <c r="F59" s="65">
        <v>698.18600000000026</v>
      </c>
      <c r="G59" s="65">
        <v>696.09200000000021</v>
      </c>
      <c r="H59" s="65">
        <v>2.0939999999999999</v>
      </c>
      <c r="I59" s="65"/>
      <c r="J59" s="65">
        <v>747.02499999999998</v>
      </c>
      <c r="K59" s="33">
        <v>55.284999999999997</v>
      </c>
      <c r="L59" s="33">
        <v>691.74</v>
      </c>
      <c r="M59" s="65"/>
      <c r="N59" s="33">
        <v>2268.58</v>
      </c>
      <c r="O59" s="33">
        <v>216.15499999999994</v>
      </c>
      <c r="P59" s="33">
        <v>2052.4250000000002</v>
      </c>
      <c r="Q59" s="140"/>
    </row>
    <row r="60" spans="2:17" s="68" customFormat="1" ht="13.5" customHeight="1" x14ac:dyDescent="0.25">
      <c r="B60" s="79"/>
      <c r="C60" s="99" t="s">
        <v>25</v>
      </c>
      <c r="D60" s="65">
        <v>12063.228000000006</v>
      </c>
      <c r="E60" s="65"/>
      <c r="F60" s="65">
        <v>1788.5219999999999</v>
      </c>
      <c r="G60" s="65">
        <v>1073.3389999999999</v>
      </c>
      <c r="H60" s="65">
        <v>715.18299999999999</v>
      </c>
      <c r="I60" s="65"/>
      <c r="J60" s="65">
        <v>1115.2309999999998</v>
      </c>
      <c r="K60" s="33">
        <v>75.713999999999984</v>
      </c>
      <c r="L60" s="33">
        <v>1039.5169999999998</v>
      </c>
      <c r="M60" s="65"/>
      <c r="N60" s="33">
        <v>9159.4750000000058</v>
      </c>
      <c r="O60" s="33">
        <v>339.66999999999996</v>
      </c>
      <c r="P60" s="33">
        <v>8819.8050000000057</v>
      </c>
      <c r="Q60" s="140"/>
    </row>
    <row r="61" spans="2:17" s="68" customFormat="1" ht="13.5" customHeight="1" x14ac:dyDescent="0.25">
      <c r="B61" s="79"/>
      <c r="C61" s="99" t="s">
        <v>26</v>
      </c>
      <c r="D61" s="65">
        <v>8928.4750000000022</v>
      </c>
      <c r="E61" s="65"/>
      <c r="F61" s="65">
        <v>1335.3850000000002</v>
      </c>
      <c r="G61" s="65">
        <v>949.88700000000017</v>
      </c>
      <c r="H61" s="65">
        <v>385.49800000000005</v>
      </c>
      <c r="I61" s="65"/>
      <c r="J61" s="65">
        <v>1940.7610000000004</v>
      </c>
      <c r="K61" s="33">
        <v>106.80400000000003</v>
      </c>
      <c r="L61" s="33">
        <v>1833.9570000000003</v>
      </c>
      <c r="M61" s="65"/>
      <c r="N61" s="33">
        <v>5652.3290000000015</v>
      </c>
      <c r="O61" s="33">
        <v>285.97000000000003</v>
      </c>
      <c r="P61" s="33">
        <v>5366.3590000000013</v>
      </c>
      <c r="Q61" s="140"/>
    </row>
    <row r="62" spans="2:17" s="68" customFormat="1" ht="13.5" customHeight="1" x14ac:dyDescent="0.25">
      <c r="B62" s="79"/>
      <c r="C62" s="99" t="s">
        <v>27</v>
      </c>
      <c r="D62" s="65">
        <v>3269.1519999999996</v>
      </c>
      <c r="E62" s="65"/>
      <c r="F62" s="65">
        <v>516.00299999999993</v>
      </c>
      <c r="G62" s="65">
        <v>450.56399999999991</v>
      </c>
      <c r="H62" s="65">
        <v>65.438999999999993</v>
      </c>
      <c r="I62" s="65"/>
      <c r="J62" s="65">
        <v>689.72799999999995</v>
      </c>
      <c r="K62" s="33">
        <v>210.04100000000003</v>
      </c>
      <c r="L62" s="33">
        <v>479.68699999999995</v>
      </c>
      <c r="M62" s="65"/>
      <c r="N62" s="33">
        <v>2063.4209999999998</v>
      </c>
      <c r="O62" s="33">
        <v>36.338999999999999</v>
      </c>
      <c r="P62" s="33">
        <v>2027.0819999999997</v>
      </c>
      <c r="Q62" s="140"/>
    </row>
    <row r="63" spans="2:17" s="68" customFormat="1" ht="13.5" customHeight="1" x14ac:dyDescent="0.25">
      <c r="B63" s="79"/>
      <c r="C63" s="99" t="s">
        <v>28</v>
      </c>
      <c r="D63" s="65">
        <v>7606.8508999999976</v>
      </c>
      <c r="E63" s="65"/>
      <c r="F63" s="65">
        <v>1684.6029999999989</v>
      </c>
      <c r="G63" s="65">
        <v>1374.5479999999989</v>
      </c>
      <c r="H63" s="65">
        <v>310.05500000000006</v>
      </c>
      <c r="I63" s="65"/>
      <c r="J63" s="65">
        <v>1598.9278999999999</v>
      </c>
      <c r="K63" s="33">
        <v>191.85699999999997</v>
      </c>
      <c r="L63" s="33">
        <v>1407.0708999999999</v>
      </c>
      <c r="M63" s="65"/>
      <c r="N63" s="33">
        <v>4323.3199999999988</v>
      </c>
      <c r="O63" s="33">
        <v>160.04899999999998</v>
      </c>
      <c r="P63" s="33">
        <v>4163.2709999999988</v>
      </c>
      <c r="Q63" s="140"/>
    </row>
    <row r="64" spans="2:17" s="68" customFormat="1" ht="13.5" customHeight="1" x14ac:dyDescent="0.25">
      <c r="B64" s="79"/>
      <c r="C64" s="99" t="s">
        <v>29</v>
      </c>
      <c r="D64" s="65">
        <v>903.94799999999998</v>
      </c>
      <c r="E64" s="65"/>
      <c r="F64" s="65">
        <v>128.87099999999998</v>
      </c>
      <c r="G64" s="65">
        <v>88.611999999999995</v>
      </c>
      <c r="H64" s="65">
        <v>40.259</v>
      </c>
      <c r="I64" s="65"/>
      <c r="J64" s="65">
        <v>320.74700000000001</v>
      </c>
      <c r="K64" s="33">
        <v>97.167000000000002</v>
      </c>
      <c r="L64" s="33">
        <v>223.58</v>
      </c>
      <c r="M64" s="65"/>
      <c r="N64" s="33">
        <v>454.33</v>
      </c>
      <c r="O64" s="33">
        <v>60.63000000000001</v>
      </c>
      <c r="P64" s="33">
        <v>393.7</v>
      </c>
      <c r="Q64" s="140"/>
    </row>
    <row r="65" spans="2:17" s="68" customFormat="1" ht="13.5" customHeight="1" x14ac:dyDescent="0.25">
      <c r="B65" s="79"/>
      <c r="C65" s="99" t="s">
        <v>30</v>
      </c>
      <c r="D65" s="65">
        <v>2040.9679999999998</v>
      </c>
      <c r="E65" s="65"/>
      <c r="F65" s="65">
        <v>399.43099999999987</v>
      </c>
      <c r="G65" s="65">
        <v>399.43099999999987</v>
      </c>
      <c r="H65" s="65">
        <v>0</v>
      </c>
      <c r="I65" s="65"/>
      <c r="J65" s="65">
        <v>339.92999999999995</v>
      </c>
      <c r="K65" s="33">
        <v>80.408000000000001</v>
      </c>
      <c r="L65" s="33">
        <v>259.52199999999993</v>
      </c>
      <c r="M65" s="65"/>
      <c r="N65" s="33">
        <v>1301.607</v>
      </c>
      <c r="O65" s="33">
        <v>32.983999999999995</v>
      </c>
      <c r="P65" s="33">
        <v>1268.623</v>
      </c>
      <c r="Q65" s="140"/>
    </row>
    <row r="66" spans="2:17" s="68" customFormat="1" ht="13.5" customHeight="1" x14ac:dyDescent="0.25">
      <c r="B66" s="79"/>
      <c r="C66" s="99" t="s">
        <v>31</v>
      </c>
      <c r="D66" s="65">
        <v>2932.308</v>
      </c>
      <c r="E66" s="65"/>
      <c r="F66" s="65">
        <v>470.2850000000002</v>
      </c>
      <c r="G66" s="65">
        <v>470.2850000000002</v>
      </c>
      <c r="H66" s="65">
        <v>0</v>
      </c>
      <c r="I66" s="65"/>
      <c r="J66" s="65">
        <v>902.77199999999993</v>
      </c>
      <c r="K66" s="33">
        <v>239.09300000000002</v>
      </c>
      <c r="L66" s="33">
        <v>663.67899999999997</v>
      </c>
      <c r="M66" s="65"/>
      <c r="N66" s="33">
        <v>1559.251</v>
      </c>
      <c r="O66" s="33">
        <v>152.96500000000006</v>
      </c>
      <c r="P66" s="33">
        <v>1406.2859999999998</v>
      </c>
      <c r="Q66" s="140"/>
    </row>
    <row r="67" spans="2:17" s="68" customFormat="1" ht="13.5" customHeight="1" x14ac:dyDescent="0.25">
      <c r="B67" s="79"/>
      <c r="C67" s="99" t="s">
        <v>32</v>
      </c>
      <c r="D67" s="65">
        <v>3566.8489999999997</v>
      </c>
      <c r="E67" s="65"/>
      <c r="F67" s="65">
        <v>563.34599999999989</v>
      </c>
      <c r="G67" s="65">
        <v>373.76099999999985</v>
      </c>
      <c r="H67" s="65">
        <v>189.58500000000004</v>
      </c>
      <c r="I67" s="65"/>
      <c r="J67" s="65">
        <v>912.62800000000016</v>
      </c>
      <c r="K67" s="33">
        <v>34.194999999999993</v>
      </c>
      <c r="L67" s="33">
        <v>878.43300000000011</v>
      </c>
      <c r="M67" s="65"/>
      <c r="N67" s="33">
        <v>2090.8749999999995</v>
      </c>
      <c r="O67" s="33">
        <v>13.381</v>
      </c>
      <c r="P67" s="33">
        <v>2077.4939999999997</v>
      </c>
      <c r="Q67" s="140"/>
    </row>
    <row r="68" spans="2:17" s="68" customFormat="1" ht="13.5" customHeight="1" x14ac:dyDescent="0.25">
      <c r="B68" s="79"/>
      <c r="C68" s="99" t="s">
        <v>34</v>
      </c>
      <c r="D68" s="65">
        <v>8959.8260000000009</v>
      </c>
      <c r="E68" s="65"/>
      <c r="F68" s="65">
        <v>1773.1580000000001</v>
      </c>
      <c r="G68" s="65">
        <v>1667.7080000000001</v>
      </c>
      <c r="H68" s="65">
        <v>105.44999999999999</v>
      </c>
      <c r="I68" s="65"/>
      <c r="J68" s="65">
        <v>638.19100000000003</v>
      </c>
      <c r="K68" s="33">
        <v>170.041</v>
      </c>
      <c r="L68" s="33">
        <v>468.15</v>
      </c>
      <c r="M68" s="65"/>
      <c r="N68" s="33">
        <v>6548.4769999999999</v>
      </c>
      <c r="O68" s="33">
        <v>379.81800000000015</v>
      </c>
      <c r="P68" s="33">
        <v>6168.6589999999997</v>
      </c>
      <c r="Q68" s="140"/>
    </row>
    <row r="69" spans="2:17" s="68" customFormat="1" ht="13.5" customHeight="1" x14ac:dyDescent="0.25">
      <c r="B69" s="79"/>
      <c r="C69" s="99" t="s">
        <v>35</v>
      </c>
      <c r="D69" s="65">
        <v>13619.740199999997</v>
      </c>
      <c r="E69" s="65"/>
      <c r="F69" s="65">
        <v>2018.4799999999996</v>
      </c>
      <c r="G69" s="65">
        <v>1803.9169999999995</v>
      </c>
      <c r="H69" s="65">
        <v>214.56300000000002</v>
      </c>
      <c r="I69" s="65"/>
      <c r="J69" s="65">
        <v>2356.7722000000003</v>
      </c>
      <c r="K69" s="33">
        <v>1424.2371000000003</v>
      </c>
      <c r="L69" s="33">
        <v>932.53510000000028</v>
      </c>
      <c r="M69" s="65"/>
      <c r="N69" s="33">
        <v>9244.4879999999976</v>
      </c>
      <c r="O69" s="33">
        <v>142.935</v>
      </c>
      <c r="P69" s="33">
        <v>9101.5529999999981</v>
      </c>
      <c r="Q69" s="140"/>
    </row>
    <row r="70" spans="2:17" s="68" customFormat="1" ht="13.5" customHeight="1" x14ac:dyDescent="0.25">
      <c r="B70" s="79"/>
      <c r="C70" s="99" t="s">
        <v>36</v>
      </c>
      <c r="D70" s="65">
        <v>5600.5319999999983</v>
      </c>
      <c r="E70" s="65"/>
      <c r="F70" s="65">
        <v>815.07600000000014</v>
      </c>
      <c r="G70" s="65">
        <v>770.59000000000015</v>
      </c>
      <c r="H70" s="65">
        <v>44.485999999999997</v>
      </c>
      <c r="I70" s="65"/>
      <c r="J70" s="65">
        <v>965.30600000000004</v>
      </c>
      <c r="K70" s="33">
        <v>192.672</v>
      </c>
      <c r="L70" s="33">
        <v>772.63400000000001</v>
      </c>
      <c r="M70" s="65"/>
      <c r="N70" s="39">
        <v>3820.1499999999983</v>
      </c>
      <c r="O70" s="33">
        <v>122.08699999999999</v>
      </c>
      <c r="P70" s="33">
        <v>3698.0629999999983</v>
      </c>
      <c r="Q70" s="140"/>
    </row>
    <row r="71" spans="2:17" s="68" customFormat="1" ht="13.5" customHeight="1" x14ac:dyDescent="0.25">
      <c r="B71" s="79"/>
      <c r="C71" s="99" t="s">
        <v>37</v>
      </c>
      <c r="D71" s="65">
        <v>2651.8516</v>
      </c>
      <c r="E71" s="65"/>
      <c r="F71" s="65">
        <v>631.05299999999966</v>
      </c>
      <c r="G71" s="65">
        <v>580.05899999999963</v>
      </c>
      <c r="H71" s="65">
        <v>50.994</v>
      </c>
      <c r="I71" s="65"/>
      <c r="J71" s="65">
        <v>487.36060000000009</v>
      </c>
      <c r="K71" s="33">
        <v>177.07300000000001</v>
      </c>
      <c r="L71" s="33">
        <v>310.28760000000011</v>
      </c>
      <c r="M71" s="65"/>
      <c r="N71" s="39">
        <v>1533.4380000000001</v>
      </c>
      <c r="O71" s="33">
        <v>235.99099999999993</v>
      </c>
      <c r="P71" s="33">
        <v>1297.4470000000001</v>
      </c>
      <c r="Q71" s="140"/>
    </row>
    <row r="72" spans="2:17" s="68" customFormat="1" ht="13.5" customHeight="1" x14ac:dyDescent="0.25">
      <c r="B72" s="79"/>
      <c r="C72" s="7" t="s">
        <v>38</v>
      </c>
      <c r="D72" s="65">
        <v>1010.0780000000002</v>
      </c>
      <c r="E72" s="65"/>
      <c r="F72" s="65">
        <v>138.47399999999999</v>
      </c>
      <c r="G72" s="65">
        <v>138.47399999999999</v>
      </c>
      <c r="H72" s="65">
        <v>0</v>
      </c>
      <c r="I72" s="65"/>
      <c r="J72" s="65">
        <v>287.471</v>
      </c>
      <c r="K72" s="33">
        <v>99.025000000000006</v>
      </c>
      <c r="L72" s="33">
        <v>188.446</v>
      </c>
      <c r="M72" s="35"/>
      <c r="N72" s="39">
        <v>584.13300000000015</v>
      </c>
      <c r="O72" s="33">
        <v>60.023000000000003</v>
      </c>
      <c r="P72" s="33">
        <v>524.11000000000013</v>
      </c>
      <c r="Q72" s="56"/>
    </row>
    <row r="73" spans="2:17" s="68" customFormat="1" ht="13.5" customHeight="1" thickBot="1" x14ac:dyDescent="0.3">
      <c r="B73" s="79"/>
      <c r="C73" s="13" t="s">
        <v>39</v>
      </c>
      <c r="D73" s="42">
        <v>2533.7670000000003</v>
      </c>
      <c r="E73" s="42"/>
      <c r="F73" s="42">
        <v>322.86099999999999</v>
      </c>
      <c r="G73" s="42">
        <v>219.04799999999997</v>
      </c>
      <c r="H73" s="42">
        <v>103.81299999999999</v>
      </c>
      <c r="I73" s="42"/>
      <c r="J73" s="42">
        <v>1315.704</v>
      </c>
      <c r="K73" s="42">
        <v>5.5460000000000003</v>
      </c>
      <c r="L73" s="42">
        <v>1310.1579999999999</v>
      </c>
      <c r="M73" s="42"/>
      <c r="N73" s="42">
        <v>895.20200000000011</v>
      </c>
      <c r="O73" s="42">
        <v>2.3200000000000003</v>
      </c>
      <c r="P73" s="42">
        <v>892.88200000000006</v>
      </c>
      <c r="Q73" s="56"/>
    </row>
    <row r="74" spans="2:17" s="1" customFormat="1" ht="3" customHeight="1" x14ac:dyDescent="0.3">
      <c r="C74" s="89"/>
      <c r="D74" s="15"/>
      <c r="E74" s="15"/>
      <c r="F74" s="15"/>
      <c r="G74" s="15"/>
      <c r="H74" s="15"/>
      <c r="I74" s="15"/>
      <c r="J74" s="15"/>
      <c r="K74" s="15"/>
      <c r="L74" s="15"/>
      <c r="M74" s="15"/>
      <c r="N74" s="15"/>
      <c r="O74" s="15"/>
      <c r="P74" s="94"/>
      <c r="Q74" s="56"/>
    </row>
    <row r="75" spans="2:17" s="90" customFormat="1" ht="13.5" x14ac:dyDescent="0.25">
      <c r="C75" s="203" t="s">
        <v>215</v>
      </c>
      <c r="D75" s="203"/>
      <c r="E75" s="203"/>
      <c r="F75" s="203"/>
      <c r="G75" s="203"/>
      <c r="H75" s="203"/>
      <c r="I75" s="203"/>
      <c r="J75" s="203"/>
      <c r="K75" s="203"/>
      <c r="L75" s="203"/>
      <c r="M75" s="203"/>
      <c r="N75" s="203"/>
      <c r="O75" s="203"/>
      <c r="P75" s="203"/>
    </row>
    <row r="76" spans="2:17" s="90" customFormat="1" ht="13.5" x14ac:dyDescent="0.25">
      <c r="C76" s="203" t="s">
        <v>216</v>
      </c>
      <c r="D76" s="203"/>
      <c r="E76" s="203"/>
      <c r="F76" s="203"/>
      <c r="G76" s="203"/>
      <c r="H76" s="203"/>
      <c r="I76" s="203"/>
      <c r="J76" s="203"/>
      <c r="K76" s="203"/>
      <c r="L76" s="203"/>
      <c r="M76" s="203"/>
      <c r="N76" s="203"/>
      <c r="O76" s="203"/>
      <c r="P76" s="203"/>
    </row>
    <row r="77" spans="2:17" s="90" customFormat="1" ht="13.5" x14ac:dyDescent="0.25">
      <c r="C77" s="203" t="s">
        <v>217</v>
      </c>
      <c r="D77" s="203"/>
      <c r="E77" s="203"/>
      <c r="F77" s="203"/>
      <c r="G77" s="203"/>
      <c r="H77" s="203"/>
      <c r="I77" s="203"/>
      <c r="J77" s="203"/>
      <c r="K77" s="203"/>
      <c r="L77" s="203"/>
      <c r="M77" s="203"/>
      <c r="N77" s="203"/>
      <c r="O77" s="203"/>
      <c r="P77" s="203"/>
    </row>
    <row r="78" spans="2:17" s="90" customFormat="1" ht="13.5" x14ac:dyDescent="0.25">
      <c r="C78" s="203" t="s">
        <v>224</v>
      </c>
      <c r="D78" s="203"/>
      <c r="E78" s="203"/>
      <c r="F78" s="203"/>
      <c r="G78" s="203"/>
      <c r="H78" s="203"/>
      <c r="I78" s="203"/>
      <c r="J78" s="203"/>
      <c r="K78" s="203"/>
      <c r="L78" s="203"/>
      <c r="M78" s="203"/>
      <c r="N78" s="203"/>
      <c r="O78" s="203"/>
      <c r="P78" s="203"/>
    </row>
    <row r="79" spans="2:17" s="1" customFormat="1" x14ac:dyDescent="0.3">
      <c r="C79" s="71" t="s">
        <v>43</v>
      </c>
      <c r="D79" s="141"/>
    </row>
    <row r="80" spans="2:17" s="1" customFormat="1" x14ac:dyDescent="0.3"/>
    <row r="81" spans="4:16" s="1" customFormat="1" x14ac:dyDescent="0.3"/>
    <row r="82" spans="4:16" s="1" customFormat="1" x14ac:dyDescent="0.3">
      <c r="D82" s="59"/>
      <c r="E82" s="59"/>
      <c r="F82" s="59"/>
      <c r="G82" s="59"/>
      <c r="H82" s="59"/>
      <c r="I82" s="59"/>
      <c r="J82" s="59"/>
      <c r="K82" s="59"/>
      <c r="L82" s="59"/>
      <c r="M82" s="59"/>
      <c r="N82" s="59"/>
      <c r="O82" s="59"/>
    </row>
    <row r="83" spans="4:16" s="1" customFormat="1" x14ac:dyDescent="0.3">
      <c r="D83" s="59"/>
      <c r="E83" s="59"/>
      <c r="F83" s="59"/>
      <c r="G83" s="59"/>
      <c r="H83" s="59"/>
      <c r="I83" s="59"/>
      <c r="J83" s="59"/>
      <c r="K83" s="59"/>
      <c r="L83" s="59"/>
      <c r="M83" s="59"/>
      <c r="N83" s="59"/>
      <c r="O83" s="59"/>
    </row>
    <row r="84" spans="4:16" s="1" customFormat="1" x14ac:dyDescent="0.3">
      <c r="D84" s="59"/>
      <c r="E84" s="59"/>
      <c r="F84" s="59"/>
      <c r="G84" s="59"/>
      <c r="H84" s="59"/>
      <c r="I84" s="59"/>
      <c r="J84" s="59"/>
      <c r="K84" s="59"/>
      <c r="L84" s="59"/>
      <c r="M84" s="59"/>
      <c r="N84" s="59"/>
      <c r="O84" s="59"/>
    </row>
    <row r="85" spans="4:16" s="1" customFormat="1" x14ac:dyDescent="0.3">
      <c r="D85" s="59"/>
      <c r="E85" s="59"/>
      <c r="F85" s="59"/>
      <c r="G85" s="59"/>
      <c r="H85" s="59"/>
      <c r="I85" s="59"/>
      <c r="J85" s="59"/>
      <c r="K85" s="59"/>
      <c r="L85" s="59"/>
      <c r="M85" s="59"/>
      <c r="N85" s="59"/>
      <c r="O85" s="59"/>
    </row>
    <row r="86" spans="4:16" s="1" customFormat="1" x14ac:dyDescent="0.3">
      <c r="D86" s="12"/>
      <c r="E86" s="12"/>
      <c r="F86" s="12"/>
      <c r="G86" s="12"/>
      <c r="H86" s="12"/>
      <c r="I86" s="12"/>
      <c r="J86" s="12"/>
      <c r="K86" s="12"/>
      <c r="L86" s="12"/>
      <c r="M86" s="12"/>
      <c r="N86" s="12"/>
      <c r="O86" s="12"/>
      <c r="P86" s="12"/>
    </row>
    <row r="87" spans="4:16" s="1" customFormat="1" x14ac:dyDescent="0.3">
      <c r="D87" s="12"/>
      <c r="E87" s="12"/>
      <c r="F87" s="12"/>
      <c r="G87" s="12"/>
      <c r="H87" s="12"/>
      <c r="I87" s="12"/>
      <c r="J87" s="12"/>
      <c r="K87" s="12"/>
      <c r="L87" s="12"/>
      <c r="M87" s="12"/>
      <c r="N87" s="12"/>
      <c r="O87" s="12"/>
      <c r="P87" s="12"/>
    </row>
    <row r="88" spans="4:16" s="1" customFormat="1" x14ac:dyDescent="0.3">
      <c r="D88" s="12"/>
      <c r="E88" s="12"/>
      <c r="F88" s="12"/>
      <c r="G88" s="12"/>
      <c r="H88" s="12"/>
      <c r="I88" s="12"/>
      <c r="J88" s="12"/>
      <c r="K88" s="12"/>
      <c r="L88" s="12"/>
      <c r="M88" s="12"/>
      <c r="N88" s="12"/>
      <c r="O88" s="12"/>
      <c r="P88" s="12"/>
    </row>
    <row r="89" spans="4:16" s="1" customFormat="1" x14ac:dyDescent="0.3">
      <c r="D89" s="12"/>
      <c r="E89" s="12"/>
      <c r="F89" s="12"/>
      <c r="G89" s="12"/>
      <c r="H89" s="12"/>
      <c r="I89" s="12"/>
      <c r="J89" s="12"/>
      <c r="K89" s="12"/>
      <c r="L89" s="12"/>
      <c r="M89" s="12"/>
      <c r="N89" s="12"/>
      <c r="O89" s="12"/>
      <c r="P89" s="12"/>
    </row>
    <row r="90" spans="4:16" s="1" customFormat="1" x14ac:dyDescent="0.3">
      <c r="D90" s="12"/>
      <c r="E90" s="12"/>
      <c r="F90" s="12"/>
      <c r="G90" s="12"/>
      <c r="H90" s="12"/>
      <c r="I90" s="12"/>
      <c r="J90" s="12"/>
      <c r="K90" s="12"/>
      <c r="L90" s="12"/>
      <c r="M90" s="12"/>
      <c r="N90" s="12"/>
      <c r="O90" s="12"/>
      <c r="P90" s="12"/>
    </row>
    <row r="91" spans="4:16" s="1" customFormat="1" x14ac:dyDescent="0.3">
      <c r="D91" s="12"/>
      <c r="E91" s="12"/>
      <c r="F91" s="12"/>
      <c r="G91" s="12"/>
      <c r="H91" s="12"/>
      <c r="I91" s="12"/>
      <c r="J91" s="12"/>
      <c r="K91" s="12"/>
      <c r="L91" s="12"/>
      <c r="M91" s="12"/>
      <c r="N91" s="12"/>
      <c r="O91" s="12"/>
      <c r="P91" s="12"/>
    </row>
    <row r="92" spans="4:16" s="1" customFormat="1" x14ac:dyDescent="0.3">
      <c r="D92" s="12"/>
      <c r="E92" s="12"/>
      <c r="F92" s="12"/>
      <c r="G92" s="12"/>
      <c r="H92" s="12"/>
      <c r="I92" s="12"/>
      <c r="J92" s="12"/>
      <c r="K92" s="12"/>
      <c r="L92" s="12"/>
      <c r="M92" s="12"/>
      <c r="N92" s="12"/>
      <c r="O92" s="12"/>
      <c r="P92" s="12"/>
    </row>
    <row r="93" spans="4:16" s="1" customFormat="1" x14ac:dyDescent="0.3">
      <c r="D93" s="12"/>
      <c r="E93" s="12"/>
      <c r="F93" s="12"/>
      <c r="G93" s="12"/>
      <c r="H93" s="12"/>
      <c r="I93" s="12"/>
      <c r="J93" s="12"/>
      <c r="K93" s="12"/>
      <c r="L93" s="12"/>
      <c r="M93" s="12"/>
      <c r="N93" s="12"/>
      <c r="O93" s="12"/>
      <c r="P93" s="12"/>
    </row>
    <row r="94" spans="4:16" s="1" customFormat="1" x14ac:dyDescent="0.3">
      <c r="D94" s="12"/>
      <c r="E94" s="12"/>
      <c r="F94" s="12"/>
      <c r="G94" s="12"/>
      <c r="H94" s="12"/>
      <c r="I94" s="12"/>
      <c r="J94" s="12"/>
      <c r="K94" s="12"/>
      <c r="L94" s="12"/>
      <c r="M94" s="12"/>
      <c r="N94" s="12"/>
      <c r="O94" s="12"/>
      <c r="P94" s="12"/>
    </row>
    <row r="95" spans="4:16" s="1" customFormat="1" x14ac:dyDescent="0.3">
      <c r="D95" s="12"/>
      <c r="E95" s="12"/>
      <c r="F95" s="12"/>
      <c r="G95" s="12"/>
      <c r="H95" s="12"/>
      <c r="I95" s="12"/>
      <c r="J95" s="12"/>
      <c r="K95" s="12"/>
      <c r="L95" s="12"/>
      <c r="M95" s="12"/>
      <c r="N95" s="12"/>
      <c r="O95" s="12"/>
      <c r="P95" s="12"/>
    </row>
    <row r="96" spans="4:16" s="1" customFormat="1" x14ac:dyDescent="0.3">
      <c r="D96" s="12"/>
      <c r="E96" s="12"/>
      <c r="F96" s="12"/>
      <c r="G96" s="12"/>
      <c r="H96" s="12"/>
      <c r="I96" s="12"/>
      <c r="J96" s="12"/>
      <c r="K96" s="12"/>
      <c r="L96" s="12"/>
      <c r="M96" s="12"/>
      <c r="N96" s="12"/>
      <c r="O96" s="12"/>
      <c r="P96" s="12"/>
    </row>
    <row r="97" spans="4:16" s="1" customFormat="1" x14ac:dyDescent="0.3">
      <c r="D97" s="12"/>
      <c r="E97" s="12"/>
      <c r="F97" s="12"/>
      <c r="G97" s="12"/>
      <c r="H97" s="12"/>
      <c r="I97" s="12"/>
      <c r="J97" s="12"/>
      <c r="K97" s="12"/>
      <c r="L97" s="12"/>
      <c r="M97" s="12"/>
      <c r="N97" s="12"/>
      <c r="O97" s="12"/>
      <c r="P97" s="12"/>
    </row>
    <row r="98" spans="4:16" s="1" customFormat="1" x14ac:dyDescent="0.3">
      <c r="D98" s="12"/>
      <c r="E98" s="12"/>
      <c r="F98" s="12"/>
      <c r="G98" s="12"/>
      <c r="H98" s="12"/>
      <c r="I98" s="12"/>
      <c r="J98" s="12"/>
      <c r="K98" s="12"/>
      <c r="L98" s="12"/>
      <c r="M98" s="12"/>
      <c r="N98" s="12"/>
      <c r="O98" s="12"/>
      <c r="P98" s="12"/>
    </row>
    <row r="99" spans="4:16" s="1" customFormat="1" x14ac:dyDescent="0.3">
      <c r="D99" s="12"/>
      <c r="E99" s="12"/>
      <c r="F99" s="12"/>
      <c r="G99" s="12"/>
      <c r="H99" s="12"/>
      <c r="I99" s="12"/>
      <c r="J99" s="12"/>
      <c r="K99" s="12"/>
      <c r="L99" s="12"/>
      <c r="M99" s="12"/>
      <c r="N99" s="12"/>
      <c r="O99" s="12"/>
      <c r="P99" s="12"/>
    </row>
    <row r="100" spans="4:16" s="1" customFormat="1" x14ac:dyDescent="0.3">
      <c r="D100" s="12"/>
      <c r="E100" s="12"/>
      <c r="F100" s="12"/>
      <c r="G100" s="12"/>
      <c r="H100" s="12"/>
      <c r="I100" s="12"/>
      <c r="J100" s="12"/>
      <c r="K100" s="12"/>
      <c r="L100" s="12"/>
      <c r="M100" s="12"/>
      <c r="N100" s="12"/>
      <c r="O100" s="12"/>
      <c r="P100" s="12"/>
    </row>
    <row r="101" spans="4:16" s="1" customFormat="1" x14ac:dyDescent="0.3">
      <c r="D101" s="12"/>
      <c r="E101" s="12"/>
      <c r="F101" s="12"/>
      <c r="G101" s="12"/>
      <c r="H101" s="12"/>
      <c r="I101" s="12"/>
      <c r="J101" s="12"/>
      <c r="K101" s="12"/>
      <c r="L101" s="12"/>
      <c r="M101" s="12"/>
      <c r="N101" s="12"/>
      <c r="O101" s="12"/>
      <c r="P101" s="12"/>
    </row>
    <row r="102" spans="4:16" s="1" customFormat="1" x14ac:dyDescent="0.3">
      <c r="D102" s="12"/>
      <c r="E102" s="12"/>
      <c r="F102" s="12"/>
      <c r="G102" s="12"/>
      <c r="H102" s="12"/>
      <c r="I102" s="12"/>
      <c r="J102" s="12"/>
      <c r="K102" s="12"/>
      <c r="L102" s="12"/>
      <c r="M102" s="12"/>
      <c r="N102" s="12"/>
      <c r="O102" s="12"/>
      <c r="P102" s="12"/>
    </row>
    <row r="103" spans="4:16" s="1" customFormat="1" x14ac:dyDescent="0.3">
      <c r="D103" s="12"/>
      <c r="E103" s="12"/>
      <c r="F103" s="12"/>
      <c r="G103" s="12"/>
      <c r="H103" s="12"/>
      <c r="I103" s="12"/>
      <c r="J103" s="12"/>
      <c r="K103" s="12"/>
      <c r="L103" s="12"/>
      <c r="M103" s="12"/>
      <c r="N103" s="12"/>
      <c r="O103" s="12"/>
      <c r="P103" s="12"/>
    </row>
    <row r="104" spans="4:16" s="1" customFormat="1" x14ac:dyDescent="0.3">
      <c r="D104" s="12"/>
      <c r="E104" s="12"/>
      <c r="F104" s="12"/>
      <c r="G104" s="12"/>
      <c r="H104" s="12"/>
      <c r="I104" s="12"/>
      <c r="J104" s="12"/>
      <c r="K104" s="12"/>
      <c r="L104" s="12"/>
      <c r="M104" s="12"/>
      <c r="N104" s="12"/>
      <c r="O104" s="12"/>
      <c r="P104" s="12"/>
    </row>
    <row r="105" spans="4:16" s="1" customFormat="1" x14ac:dyDescent="0.3">
      <c r="D105" s="12"/>
      <c r="E105" s="12"/>
      <c r="F105" s="12"/>
      <c r="G105" s="12"/>
      <c r="H105" s="12"/>
      <c r="I105" s="12"/>
      <c r="J105" s="12"/>
      <c r="K105" s="12"/>
      <c r="L105" s="12"/>
      <c r="M105" s="12"/>
      <c r="N105" s="12"/>
      <c r="O105" s="12"/>
      <c r="P105" s="12"/>
    </row>
    <row r="106" spans="4:16" s="1" customFormat="1" x14ac:dyDescent="0.3">
      <c r="D106" s="12"/>
      <c r="E106" s="12"/>
      <c r="F106" s="12"/>
      <c r="G106" s="12"/>
      <c r="H106" s="12"/>
      <c r="I106" s="12"/>
      <c r="J106" s="12"/>
      <c r="K106" s="12"/>
      <c r="L106" s="12"/>
      <c r="M106" s="12"/>
      <c r="N106" s="12"/>
      <c r="O106" s="12"/>
      <c r="P106" s="12"/>
    </row>
    <row r="107" spans="4:16" s="1" customFormat="1" x14ac:dyDescent="0.3">
      <c r="D107" s="12"/>
      <c r="E107" s="12"/>
      <c r="F107" s="12"/>
      <c r="G107" s="12"/>
      <c r="H107" s="12"/>
      <c r="I107" s="12"/>
      <c r="J107" s="12"/>
      <c r="K107" s="12"/>
      <c r="L107" s="12"/>
      <c r="M107" s="12"/>
      <c r="N107" s="12"/>
      <c r="O107" s="12"/>
      <c r="P107" s="12"/>
    </row>
    <row r="108" spans="4:16" s="1" customFormat="1" x14ac:dyDescent="0.3">
      <c r="D108" s="12"/>
      <c r="E108" s="12"/>
      <c r="F108" s="12"/>
      <c r="G108" s="12"/>
      <c r="H108" s="12"/>
      <c r="I108" s="12"/>
      <c r="J108" s="12"/>
      <c r="K108" s="12"/>
      <c r="L108" s="12"/>
      <c r="M108" s="12"/>
      <c r="N108" s="12"/>
      <c r="O108" s="12"/>
      <c r="P108" s="12"/>
    </row>
    <row r="109" spans="4:16" s="1" customFormat="1" x14ac:dyDescent="0.3">
      <c r="D109" s="12"/>
      <c r="E109" s="12"/>
      <c r="F109" s="12"/>
      <c r="G109" s="12"/>
      <c r="H109" s="12"/>
      <c r="I109" s="12"/>
      <c r="J109" s="12"/>
      <c r="K109" s="12"/>
      <c r="L109" s="12"/>
      <c r="M109" s="12"/>
      <c r="N109" s="12"/>
      <c r="O109" s="12"/>
      <c r="P109" s="12"/>
    </row>
    <row r="110" spans="4:16" s="1" customFormat="1" x14ac:dyDescent="0.3">
      <c r="D110" s="12"/>
      <c r="E110" s="12"/>
      <c r="F110" s="12"/>
      <c r="G110" s="12"/>
      <c r="H110" s="12"/>
      <c r="I110" s="12"/>
      <c r="J110" s="12"/>
      <c r="K110" s="12"/>
      <c r="L110" s="12"/>
      <c r="M110" s="12"/>
      <c r="N110" s="12"/>
      <c r="O110" s="12"/>
      <c r="P110" s="12"/>
    </row>
    <row r="111" spans="4:16" s="44" customFormat="1" ht="13.5" x14ac:dyDescent="0.25"/>
    <row r="112" spans="4:16" s="44" customFormat="1" ht="13.5" x14ac:dyDescent="0.25"/>
    <row r="113" s="44" customFormat="1" ht="13.5" x14ac:dyDescent="0.25"/>
    <row r="114" s="44" customFormat="1" ht="13.5" x14ac:dyDescent="0.25"/>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sheetData>
  <mergeCells count="22">
    <mergeCell ref="C78:P78"/>
    <mergeCell ref="C36:P36"/>
    <mergeCell ref="C37:P37"/>
    <mergeCell ref="C38:P38"/>
    <mergeCell ref="C39:P39"/>
    <mergeCell ref="C76:P76"/>
    <mergeCell ref="C77:P77"/>
    <mergeCell ref="C42:P42"/>
    <mergeCell ref="C43:P43"/>
    <mergeCell ref="C45:P45"/>
    <mergeCell ref="C75:P75"/>
    <mergeCell ref="D46:D47"/>
    <mergeCell ref="F46:H46"/>
    <mergeCell ref="J46:L46"/>
    <mergeCell ref="N46:P46"/>
    <mergeCell ref="C3:P3"/>
    <mergeCell ref="C4:P4"/>
    <mergeCell ref="F7:H7"/>
    <mergeCell ref="J7:L7"/>
    <mergeCell ref="N7:P7"/>
    <mergeCell ref="D7:D8"/>
    <mergeCell ref="C6:P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O78"/>
  <sheetViews>
    <sheetView showGridLines="0" topLeftCell="A34" workbookViewId="0">
      <selection activeCell="N25" sqref="N25"/>
    </sheetView>
  </sheetViews>
  <sheetFormatPr baseColWidth="10" defaultRowHeight="15" x14ac:dyDescent="0.25"/>
  <cols>
    <col min="1" max="1" width="8.140625" customWidth="1"/>
    <col min="2" max="2" width="14.42578125" customWidth="1"/>
    <col min="4" max="4" width="2.85546875" customWidth="1"/>
    <col min="8" max="8" width="3.28515625" customWidth="1"/>
    <col min="12" max="12" width="2.42578125" customWidth="1"/>
  </cols>
  <sheetData>
    <row r="3" spans="2:15" ht="15.75" x14ac:dyDescent="0.25">
      <c r="B3" s="145" t="s">
        <v>0</v>
      </c>
      <c r="C3" s="145"/>
      <c r="D3" s="145"/>
      <c r="E3" s="145"/>
      <c r="F3" s="145"/>
      <c r="G3" s="145"/>
      <c r="H3" s="145"/>
      <c r="I3" s="145"/>
      <c r="J3" s="145"/>
      <c r="K3" s="145"/>
      <c r="L3" s="145"/>
      <c r="M3" s="145"/>
      <c r="N3" s="145"/>
      <c r="O3" s="145"/>
    </row>
    <row r="4" spans="2:15" x14ac:dyDescent="0.25">
      <c r="B4" s="146" t="s">
        <v>221</v>
      </c>
      <c r="C4" s="146"/>
      <c r="D4" s="146"/>
      <c r="E4" s="146"/>
      <c r="F4" s="146"/>
      <c r="G4" s="146"/>
      <c r="H4" s="146"/>
      <c r="I4" s="146"/>
      <c r="J4" s="146"/>
      <c r="K4" s="146"/>
      <c r="L4" s="146"/>
      <c r="M4" s="146"/>
      <c r="N4" s="146"/>
      <c r="O4" s="146"/>
    </row>
    <row r="5" spans="2:15" ht="16.5" x14ac:dyDescent="0.3">
      <c r="B5" s="1"/>
      <c r="C5" s="1"/>
      <c r="D5" s="1"/>
      <c r="E5" s="1"/>
      <c r="F5" s="1"/>
      <c r="G5" s="1"/>
      <c r="H5" s="1"/>
      <c r="I5" s="1"/>
      <c r="J5" s="1"/>
      <c r="K5" s="1"/>
      <c r="L5" s="1"/>
      <c r="M5" s="1"/>
      <c r="N5" s="1"/>
      <c r="O5" s="59"/>
    </row>
    <row r="6" spans="2:15" ht="15.75" thickBot="1" x14ac:dyDescent="0.3">
      <c r="B6" s="144" t="s">
        <v>2</v>
      </c>
      <c r="C6" s="144"/>
      <c r="D6" s="144"/>
      <c r="E6" s="144"/>
      <c r="F6" s="144"/>
      <c r="G6" s="144"/>
      <c r="H6" s="144"/>
      <c r="I6" s="144"/>
      <c r="J6" s="144"/>
      <c r="K6" s="144"/>
      <c r="L6" s="144"/>
      <c r="M6" s="144"/>
      <c r="N6" s="144"/>
      <c r="O6" s="144"/>
    </row>
    <row r="7" spans="2:15" ht="15" customHeight="1" x14ac:dyDescent="0.25">
      <c r="B7" s="147" t="s">
        <v>3</v>
      </c>
      <c r="C7" s="149" t="s">
        <v>47</v>
      </c>
      <c r="D7" s="54"/>
      <c r="E7" s="151" t="s">
        <v>5</v>
      </c>
      <c r="F7" s="151"/>
      <c r="G7" s="151"/>
      <c r="H7" s="3"/>
      <c r="I7" s="147" t="s">
        <v>123</v>
      </c>
      <c r="J7" s="147"/>
      <c r="K7" s="147"/>
      <c r="L7" s="3"/>
      <c r="M7" s="147" t="s">
        <v>124</v>
      </c>
      <c r="N7" s="147"/>
      <c r="O7" s="147"/>
    </row>
    <row r="8" spans="2:15" ht="26.25" thickBot="1" x14ac:dyDescent="0.3">
      <c r="B8" s="148"/>
      <c r="C8" s="150"/>
      <c r="D8" s="28"/>
      <c r="E8" s="4" t="s">
        <v>8</v>
      </c>
      <c r="F8" s="4" t="s">
        <v>9</v>
      </c>
      <c r="G8" s="4" t="s">
        <v>10</v>
      </c>
      <c r="H8" s="28"/>
      <c r="I8" s="4" t="s">
        <v>11</v>
      </c>
      <c r="J8" s="4" t="s">
        <v>12</v>
      </c>
      <c r="K8" s="4" t="s">
        <v>10</v>
      </c>
      <c r="L8" s="28"/>
      <c r="M8" s="4" t="s">
        <v>11</v>
      </c>
      <c r="N8" s="4" t="s">
        <v>12</v>
      </c>
      <c r="O8" s="4" t="s">
        <v>10</v>
      </c>
    </row>
    <row r="9" spans="2:15" x14ac:dyDescent="0.25">
      <c r="B9" s="92" t="s">
        <v>13</v>
      </c>
      <c r="C9" s="93">
        <v>174708.53371000002</v>
      </c>
      <c r="D9" s="142"/>
      <c r="E9" s="93">
        <v>27459.960999999999</v>
      </c>
      <c r="F9" s="93">
        <v>22736.107999999993</v>
      </c>
      <c r="G9" s="93">
        <v>4723.853000000001</v>
      </c>
      <c r="H9" s="142"/>
      <c r="I9" s="93">
        <v>27752.444800000001</v>
      </c>
      <c r="J9" s="93">
        <v>6624.9571000000005</v>
      </c>
      <c r="K9" s="93">
        <v>21127.487699999994</v>
      </c>
      <c r="L9" s="142"/>
      <c r="M9" s="93">
        <v>119496.12791000007</v>
      </c>
      <c r="N9" s="93">
        <v>3802.5280000000002</v>
      </c>
      <c r="O9" s="93">
        <v>115693.59991000003</v>
      </c>
    </row>
    <row r="10" spans="2:15" x14ac:dyDescent="0.25">
      <c r="B10" s="11" t="s">
        <v>14</v>
      </c>
      <c r="C10" s="65">
        <v>3698.5419999999995</v>
      </c>
      <c r="D10" s="65"/>
      <c r="E10" s="65">
        <v>1155.7149999999997</v>
      </c>
      <c r="F10" s="65">
        <v>849.4219999999998</v>
      </c>
      <c r="G10" s="65">
        <v>306.29300000000001</v>
      </c>
      <c r="H10" s="65"/>
      <c r="I10" s="65">
        <v>585.11199999999997</v>
      </c>
      <c r="J10" s="33">
        <v>114.77799999999999</v>
      </c>
      <c r="K10" s="33">
        <v>470.33399999999995</v>
      </c>
      <c r="L10" s="35"/>
      <c r="M10" s="33">
        <v>1957.7149999999999</v>
      </c>
      <c r="N10" s="33">
        <v>7.24</v>
      </c>
      <c r="O10" s="33">
        <v>1950.4749999999999</v>
      </c>
    </row>
    <row r="11" spans="2:15" x14ac:dyDescent="0.25">
      <c r="B11" s="7" t="s">
        <v>15</v>
      </c>
      <c r="C11" s="65">
        <v>10739.778000000002</v>
      </c>
      <c r="D11" s="65"/>
      <c r="E11" s="65">
        <v>1884.9259999999999</v>
      </c>
      <c r="F11" s="65">
        <v>1436.0329999999999</v>
      </c>
      <c r="G11" s="65">
        <v>448.89300000000009</v>
      </c>
      <c r="H11" s="65"/>
      <c r="I11" s="65">
        <v>1222.7209999999995</v>
      </c>
      <c r="J11" s="33">
        <v>526.66199999999981</v>
      </c>
      <c r="K11" s="33">
        <v>696.05899999999986</v>
      </c>
      <c r="L11" s="35"/>
      <c r="M11" s="33">
        <v>7632.1310000000021</v>
      </c>
      <c r="N11" s="33">
        <v>114.881</v>
      </c>
      <c r="O11" s="33">
        <v>7517.2500000000018</v>
      </c>
    </row>
    <row r="12" spans="2:15" x14ac:dyDescent="0.25">
      <c r="B12" s="7" t="s">
        <v>16</v>
      </c>
      <c r="C12" s="65">
        <v>8209.3499100000008</v>
      </c>
      <c r="D12" s="65"/>
      <c r="E12" s="65">
        <v>1283.1410000000001</v>
      </c>
      <c r="F12" s="65">
        <v>1048.3280000000002</v>
      </c>
      <c r="G12" s="65">
        <v>234.81299999999999</v>
      </c>
      <c r="H12" s="65"/>
      <c r="I12" s="65">
        <v>1298.8629999999996</v>
      </c>
      <c r="J12" s="33">
        <v>255.66499999999996</v>
      </c>
      <c r="K12" s="33">
        <v>1043.1979999999996</v>
      </c>
      <c r="L12" s="35"/>
      <c r="M12" s="33">
        <v>5627.34591</v>
      </c>
      <c r="N12" s="33">
        <v>18.348999999999997</v>
      </c>
      <c r="O12" s="33">
        <v>5608.9969099999998</v>
      </c>
    </row>
    <row r="13" spans="2:15" x14ac:dyDescent="0.25">
      <c r="B13" s="7" t="s">
        <v>17</v>
      </c>
      <c r="C13" s="65">
        <v>10318.049000000003</v>
      </c>
      <c r="D13" s="65"/>
      <c r="E13" s="65">
        <v>1495.2359999999999</v>
      </c>
      <c r="F13" s="65">
        <v>1222.3119999999999</v>
      </c>
      <c r="G13" s="65">
        <v>272.92399999999998</v>
      </c>
      <c r="H13" s="65"/>
      <c r="I13" s="65">
        <v>1752.9259999999999</v>
      </c>
      <c r="J13" s="33">
        <v>1010.1679999999999</v>
      </c>
      <c r="K13" s="33">
        <v>742.75800000000004</v>
      </c>
      <c r="L13" s="35"/>
      <c r="M13" s="33">
        <v>7069.8870000000024</v>
      </c>
      <c r="N13" s="33">
        <v>582.78600000000006</v>
      </c>
      <c r="O13" s="33">
        <v>6487.1010000000024</v>
      </c>
    </row>
    <row r="14" spans="2:15" x14ac:dyDescent="0.25">
      <c r="B14" s="7" t="s">
        <v>18</v>
      </c>
      <c r="C14" s="65">
        <v>12551.911</v>
      </c>
      <c r="D14" s="65"/>
      <c r="E14" s="65">
        <v>1801.1420000000001</v>
      </c>
      <c r="F14" s="65">
        <v>1727.675</v>
      </c>
      <c r="G14" s="65">
        <v>73.467000000000013</v>
      </c>
      <c r="H14" s="65"/>
      <c r="I14" s="65">
        <v>1786.607</v>
      </c>
      <c r="J14" s="33">
        <v>307.19599999999991</v>
      </c>
      <c r="K14" s="33">
        <v>1479.4110000000001</v>
      </c>
      <c r="L14" s="35"/>
      <c r="M14" s="33">
        <v>8964.1620000000003</v>
      </c>
      <c r="N14" s="33">
        <v>116.88200000000001</v>
      </c>
      <c r="O14" s="33">
        <v>8847.2800000000007</v>
      </c>
    </row>
    <row r="15" spans="2:15" x14ac:dyDescent="0.25">
      <c r="B15" s="7" t="s">
        <v>19</v>
      </c>
      <c r="C15" s="65">
        <v>15701.111000000026</v>
      </c>
      <c r="D15" s="65"/>
      <c r="E15" s="65">
        <v>1733.9519999999993</v>
      </c>
      <c r="F15" s="65">
        <v>1529.6929999999993</v>
      </c>
      <c r="G15" s="65">
        <v>204.25899999999999</v>
      </c>
      <c r="H15" s="65"/>
      <c r="I15" s="65">
        <v>936.55499999999995</v>
      </c>
      <c r="J15" s="33">
        <v>96.969000000000008</v>
      </c>
      <c r="K15" s="33">
        <v>839.5859999999999</v>
      </c>
      <c r="L15" s="35"/>
      <c r="M15" s="33">
        <v>13030.604000000027</v>
      </c>
      <c r="N15" s="33">
        <v>349.41700000000003</v>
      </c>
      <c r="O15" s="33">
        <v>12681.187000000027</v>
      </c>
    </row>
    <row r="16" spans="2:15" x14ac:dyDescent="0.25">
      <c r="B16" s="7" t="s">
        <v>20</v>
      </c>
      <c r="C16" s="65">
        <v>51.746000000000009</v>
      </c>
      <c r="D16" s="65"/>
      <c r="E16" s="65">
        <v>44.847000000000008</v>
      </c>
      <c r="F16" s="65">
        <v>44.847000000000008</v>
      </c>
      <c r="G16" s="65">
        <v>0</v>
      </c>
      <c r="H16" s="65"/>
      <c r="I16" s="65">
        <v>6.8990000000000009</v>
      </c>
      <c r="J16" s="33">
        <v>5.1510000000000007</v>
      </c>
      <c r="K16" s="33">
        <v>1.748</v>
      </c>
      <c r="L16" s="35"/>
      <c r="M16" s="33">
        <v>0</v>
      </c>
      <c r="N16" s="33">
        <v>0</v>
      </c>
      <c r="O16" s="33">
        <v>0</v>
      </c>
    </row>
    <row r="17" spans="2:15" x14ac:dyDescent="0.25">
      <c r="B17" s="7" t="s">
        <v>21</v>
      </c>
      <c r="C17" s="65">
        <v>17485.52810000001</v>
      </c>
      <c r="D17" s="65"/>
      <c r="E17" s="65">
        <v>2020.2900000000002</v>
      </c>
      <c r="F17" s="65">
        <v>1665.0410000000002</v>
      </c>
      <c r="G17" s="65">
        <v>355.24900000000002</v>
      </c>
      <c r="H17" s="65"/>
      <c r="I17" s="65">
        <v>2746.7671000000009</v>
      </c>
      <c r="J17" s="33">
        <v>769.83100000000013</v>
      </c>
      <c r="K17" s="33">
        <v>1976.9361000000006</v>
      </c>
      <c r="L17" s="35"/>
      <c r="M17" s="33">
        <v>12718.47100000001</v>
      </c>
      <c r="N17" s="33">
        <v>300.45400000000012</v>
      </c>
      <c r="O17" s="33">
        <v>12418.017000000011</v>
      </c>
    </row>
    <row r="18" spans="2:15" x14ac:dyDescent="0.25">
      <c r="B18" s="7" t="s">
        <v>22</v>
      </c>
      <c r="C18" s="65">
        <v>8303.9789999999994</v>
      </c>
      <c r="D18" s="65"/>
      <c r="E18" s="65">
        <v>1444.393</v>
      </c>
      <c r="F18" s="65">
        <v>1190.902</v>
      </c>
      <c r="G18" s="65">
        <v>253.49100000000004</v>
      </c>
      <c r="H18" s="65"/>
      <c r="I18" s="65">
        <v>2004.4359999999997</v>
      </c>
      <c r="J18" s="33">
        <v>213.24100000000004</v>
      </c>
      <c r="K18" s="33">
        <v>1791.1949999999997</v>
      </c>
      <c r="L18" s="35"/>
      <c r="M18" s="33">
        <v>4855.1499999999996</v>
      </c>
      <c r="N18" s="33">
        <v>124.43600000000001</v>
      </c>
      <c r="O18" s="33">
        <v>4730.7139999999999</v>
      </c>
    </row>
    <row r="19" spans="2:15" x14ac:dyDescent="0.25">
      <c r="B19" s="7" t="s">
        <v>23</v>
      </c>
      <c r="C19" s="65">
        <v>8000.3630000000021</v>
      </c>
      <c r="D19" s="65"/>
      <c r="E19" s="65">
        <v>1305.2440000000001</v>
      </c>
      <c r="F19" s="65">
        <v>929.59699999999998</v>
      </c>
      <c r="G19" s="65">
        <v>375.64700000000005</v>
      </c>
      <c r="H19" s="65"/>
      <c r="I19" s="65">
        <v>792.22099999999978</v>
      </c>
      <c r="J19" s="33">
        <v>6.6029999999999998</v>
      </c>
      <c r="K19" s="33">
        <v>785.61799999999982</v>
      </c>
      <c r="L19" s="35"/>
      <c r="M19" s="33">
        <v>5902.898000000002</v>
      </c>
      <c r="N19" s="33">
        <v>97.423000000000002</v>
      </c>
      <c r="O19" s="33">
        <v>5805.4750000000022</v>
      </c>
    </row>
    <row r="20" spans="2:15" x14ac:dyDescent="0.25">
      <c r="B20" s="7" t="s">
        <v>24</v>
      </c>
      <c r="C20" s="65">
        <v>3716.1750000000002</v>
      </c>
      <c r="D20" s="65"/>
      <c r="E20" s="65">
        <v>698.18599999999992</v>
      </c>
      <c r="F20" s="65">
        <v>696.09199999999987</v>
      </c>
      <c r="G20" s="65">
        <v>2.0939999999999999</v>
      </c>
      <c r="H20" s="65"/>
      <c r="I20" s="65">
        <v>747.02199999999993</v>
      </c>
      <c r="J20" s="33">
        <v>117.77</v>
      </c>
      <c r="K20" s="33">
        <v>629.25199999999995</v>
      </c>
      <c r="L20" s="35"/>
      <c r="M20" s="33">
        <v>2270.9670000000006</v>
      </c>
      <c r="N20" s="33">
        <v>200.78499999999994</v>
      </c>
      <c r="O20" s="33">
        <v>2070.1820000000007</v>
      </c>
    </row>
    <row r="21" spans="2:15" x14ac:dyDescent="0.25">
      <c r="B21" s="7" t="s">
        <v>25</v>
      </c>
      <c r="C21" s="65">
        <v>12078.016000000007</v>
      </c>
      <c r="D21" s="65"/>
      <c r="E21" s="65">
        <v>1787.2079999999999</v>
      </c>
      <c r="F21" s="65">
        <v>1073.3389999999999</v>
      </c>
      <c r="G21" s="65">
        <v>713.86899999999991</v>
      </c>
      <c r="H21" s="65"/>
      <c r="I21" s="65">
        <v>1115.3449999999998</v>
      </c>
      <c r="J21" s="33">
        <v>118.52699999999997</v>
      </c>
      <c r="K21" s="33">
        <v>996.81799999999976</v>
      </c>
      <c r="L21" s="35"/>
      <c r="M21" s="33">
        <v>9175.463000000007</v>
      </c>
      <c r="N21" s="33">
        <v>357.16499999999996</v>
      </c>
      <c r="O21" s="33">
        <v>8818.2980000000061</v>
      </c>
    </row>
    <row r="22" spans="2:15" x14ac:dyDescent="0.25">
      <c r="B22" s="7" t="s">
        <v>26</v>
      </c>
      <c r="C22" s="65">
        <v>8935.8080000000009</v>
      </c>
      <c r="D22" s="65"/>
      <c r="E22" s="65">
        <v>1335.4639999999997</v>
      </c>
      <c r="F22" s="65">
        <v>949.50899999999979</v>
      </c>
      <c r="G22" s="65">
        <v>385.95499999999993</v>
      </c>
      <c r="H22" s="65"/>
      <c r="I22" s="65">
        <v>1940.7610000000004</v>
      </c>
      <c r="J22" s="33">
        <v>106.80400000000003</v>
      </c>
      <c r="K22" s="33">
        <v>1833.9570000000003</v>
      </c>
      <c r="L22" s="35"/>
      <c r="M22" s="33">
        <v>5659.5830000000014</v>
      </c>
      <c r="N22" s="33">
        <v>165.78200000000004</v>
      </c>
      <c r="O22" s="33">
        <v>5493.8010000000013</v>
      </c>
    </row>
    <row r="23" spans="2:15" x14ac:dyDescent="0.25">
      <c r="B23" s="7" t="s">
        <v>27</v>
      </c>
      <c r="C23" s="65">
        <v>3269.0280000000002</v>
      </c>
      <c r="D23" s="65"/>
      <c r="E23" s="65">
        <v>515.06200000000013</v>
      </c>
      <c r="F23" s="65">
        <v>450.56400000000014</v>
      </c>
      <c r="G23" s="65">
        <v>64.498000000000005</v>
      </c>
      <c r="H23" s="65"/>
      <c r="I23" s="65">
        <v>689.72799999999995</v>
      </c>
      <c r="J23" s="33">
        <v>210.04100000000003</v>
      </c>
      <c r="K23" s="33">
        <v>479.68699999999995</v>
      </c>
      <c r="L23" s="35"/>
      <c r="M23" s="33">
        <v>2064.2380000000003</v>
      </c>
      <c r="N23" s="33">
        <v>38.83</v>
      </c>
      <c r="O23" s="33">
        <v>2025.4080000000001</v>
      </c>
    </row>
    <row r="24" spans="2:15" x14ac:dyDescent="0.25">
      <c r="B24" s="7" t="s">
        <v>28</v>
      </c>
      <c r="C24" s="65">
        <v>7613.410899999998</v>
      </c>
      <c r="D24" s="65"/>
      <c r="E24" s="65">
        <v>1684.6029999999996</v>
      </c>
      <c r="F24" s="65">
        <v>1395.0429999999994</v>
      </c>
      <c r="G24" s="65">
        <v>289.56000000000006</v>
      </c>
      <c r="H24" s="65"/>
      <c r="I24" s="65">
        <v>1598.9278999999999</v>
      </c>
      <c r="J24" s="33">
        <v>191.85699999999997</v>
      </c>
      <c r="K24" s="33">
        <v>1407.0708999999999</v>
      </c>
      <c r="L24" s="35"/>
      <c r="M24" s="33">
        <v>4329.8799999999983</v>
      </c>
      <c r="N24" s="33">
        <v>160.04899999999998</v>
      </c>
      <c r="O24" s="33">
        <v>4169.8309999999983</v>
      </c>
    </row>
    <row r="25" spans="2:15" x14ac:dyDescent="0.25">
      <c r="B25" s="7" t="s">
        <v>29</v>
      </c>
      <c r="C25" s="65">
        <v>972.18</v>
      </c>
      <c r="D25" s="65"/>
      <c r="E25" s="65">
        <v>128.87100000000001</v>
      </c>
      <c r="F25" s="65">
        <v>88.612000000000009</v>
      </c>
      <c r="G25" s="65">
        <v>40.259</v>
      </c>
      <c r="H25" s="65"/>
      <c r="I25" s="65">
        <v>320.74700000000001</v>
      </c>
      <c r="J25" s="33">
        <v>97.167000000000002</v>
      </c>
      <c r="K25" s="33">
        <v>223.58</v>
      </c>
      <c r="L25" s="35"/>
      <c r="M25" s="33">
        <v>522.5619999999999</v>
      </c>
      <c r="N25" s="33">
        <v>88.435000000000002</v>
      </c>
      <c r="O25" s="33">
        <v>434.12699999999995</v>
      </c>
    </row>
    <row r="26" spans="2:15" x14ac:dyDescent="0.25">
      <c r="B26" s="7" t="s">
        <v>30</v>
      </c>
      <c r="C26" s="65">
        <v>2049.259</v>
      </c>
      <c r="D26" s="65"/>
      <c r="E26" s="65">
        <v>399.43099999999998</v>
      </c>
      <c r="F26" s="65">
        <v>399.43099999999998</v>
      </c>
      <c r="G26" s="65">
        <v>0</v>
      </c>
      <c r="H26" s="65"/>
      <c r="I26" s="65">
        <v>340.02099999999996</v>
      </c>
      <c r="J26" s="33">
        <v>87.988</v>
      </c>
      <c r="K26" s="33">
        <v>252.03299999999996</v>
      </c>
      <c r="L26" s="35"/>
      <c r="M26" s="33">
        <v>1309.807</v>
      </c>
      <c r="N26" s="33">
        <v>6.4049999999999994</v>
      </c>
      <c r="O26" s="33">
        <v>1303.402</v>
      </c>
    </row>
    <row r="27" spans="2:15" x14ac:dyDescent="0.25">
      <c r="B27" s="7" t="s">
        <v>31</v>
      </c>
      <c r="C27" s="65">
        <v>2938.9520000000002</v>
      </c>
      <c r="D27" s="65"/>
      <c r="E27" s="65">
        <v>470.2850000000002</v>
      </c>
      <c r="F27" s="65">
        <v>470.2850000000002</v>
      </c>
      <c r="G27" s="65">
        <v>0</v>
      </c>
      <c r="H27" s="65"/>
      <c r="I27" s="65">
        <v>904.55599999999993</v>
      </c>
      <c r="J27" s="33">
        <v>239.83699999999999</v>
      </c>
      <c r="K27" s="33">
        <v>664.71899999999994</v>
      </c>
      <c r="L27" s="35"/>
      <c r="M27" s="33">
        <v>1564.1109999999999</v>
      </c>
      <c r="N27" s="33">
        <v>157.82500000000005</v>
      </c>
      <c r="O27" s="33">
        <v>1406.2859999999998</v>
      </c>
    </row>
    <row r="28" spans="2:15" x14ac:dyDescent="0.25">
      <c r="B28" s="7" t="s">
        <v>32</v>
      </c>
      <c r="C28" s="65">
        <v>3661.4189999999999</v>
      </c>
      <c r="D28" s="65"/>
      <c r="E28" s="65">
        <v>564.34599999999989</v>
      </c>
      <c r="F28" s="65">
        <v>373.76099999999997</v>
      </c>
      <c r="G28" s="65">
        <v>190.58499999999995</v>
      </c>
      <c r="H28" s="65"/>
      <c r="I28" s="65">
        <v>912.62800000000016</v>
      </c>
      <c r="J28" s="33">
        <v>34.194999999999993</v>
      </c>
      <c r="K28" s="33">
        <v>878.43300000000011</v>
      </c>
      <c r="L28" s="35"/>
      <c r="M28" s="33">
        <v>2184.4449999999997</v>
      </c>
      <c r="N28" s="33">
        <v>19.265999999999998</v>
      </c>
      <c r="O28" s="33">
        <v>2165.1789999999996</v>
      </c>
    </row>
    <row r="29" spans="2:15" x14ac:dyDescent="0.25">
      <c r="B29" s="7" t="s">
        <v>34</v>
      </c>
      <c r="C29" s="65">
        <v>8962.5339999999997</v>
      </c>
      <c r="D29" s="65"/>
      <c r="E29" s="65">
        <v>1779.7560000000001</v>
      </c>
      <c r="F29" s="65">
        <v>1666.835</v>
      </c>
      <c r="G29" s="65">
        <v>112.92099999999999</v>
      </c>
      <c r="H29" s="65"/>
      <c r="I29" s="65">
        <v>636.99599999999987</v>
      </c>
      <c r="J29" s="33">
        <v>170.041</v>
      </c>
      <c r="K29" s="33">
        <v>466.95499999999993</v>
      </c>
      <c r="L29" s="35"/>
      <c r="M29" s="33">
        <v>6545.7819999999992</v>
      </c>
      <c r="N29" s="33">
        <v>387.57000000000016</v>
      </c>
      <c r="O29" s="33">
        <v>6158.2119999999995</v>
      </c>
    </row>
    <row r="30" spans="2:15" x14ac:dyDescent="0.25">
      <c r="B30" s="7" t="s">
        <v>35</v>
      </c>
      <c r="C30" s="65">
        <v>13654.539199999999</v>
      </c>
      <c r="D30" s="65"/>
      <c r="E30" s="65">
        <v>2020.7790000000005</v>
      </c>
      <c r="F30" s="65">
        <v>1806.2160000000006</v>
      </c>
      <c r="G30" s="65">
        <v>214.56299999999999</v>
      </c>
      <c r="H30" s="65"/>
      <c r="I30" s="65">
        <v>2356.7722000000003</v>
      </c>
      <c r="J30" s="33">
        <v>1435.8891000000003</v>
      </c>
      <c r="K30" s="33">
        <v>920.88310000000024</v>
      </c>
      <c r="L30" s="35"/>
      <c r="M30" s="33">
        <v>9276.9879999999976</v>
      </c>
      <c r="N30" s="33">
        <v>116.749</v>
      </c>
      <c r="O30" s="33">
        <v>9160.2389999999978</v>
      </c>
    </row>
    <row r="31" spans="2:15" x14ac:dyDescent="0.25">
      <c r="B31" s="7" t="s">
        <v>36</v>
      </c>
      <c r="C31" s="65">
        <v>5603.3219999999983</v>
      </c>
      <c r="D31" s="65"/>
      <c r="E31" s="65">
        <v>815.07600000000025</v>
      </c>
      <c r="F31" s="65">
        <v>770.59000000000026</v>
      </c>
      <c r="G31" s="65">
        <v>44.486000000000004</v>
      </c>
      <c r="H31" s="65"/>
      <c r="I31" s="65">
        <v>965.298</v>
      </c>
      <c r="J31" s="33">
        <v>192.66399999999999</v>
      </c>
      <c r="K31" s="33">
        <v>772.63400000000001</v>
      </c>
      <c r="L31" s="35"/>
      <c r="M31" s="39">
        <v>3822.9479999999985</v>
      </c>
      <c r="N31" s="33">
        <v>53.098999999999997</v>
      </c>
      <c r="O31" s="33">
        <v>3769.8489999999983</v>
      </c>
    </row>
    <row r="32" spans="2:15" x14ac:dyDescent="0.25">
      <c r="B32" s="7" t="s">
        <v>37</v>
      </c>
      <c r="C32" s="65">
        <v>2649.6886000000004</v>
      </c>
      <c r="D32" s="65"/>
      <c r="E32" s="65">
        <v>630.673</v>
      </c>
      <c r="F32" s="65">
        <v>594.45900000000006</v>
      </c>
      <c r="G32" s="65">
        <v>36.213999999999999</v>
      </c>
      <c r="H32" s="65"/>
      <c r="I32" s="65">
        <v>487.36060000000009</v>
      </c>
      <c r="J32" s="33">
        <v>177.07300000000001</v>
      </c>
      <c r="K32" s="33">
        <v>310.28760000000011</v>
      </c>
      <c r="L32" s="35"/>
      <c r="M32" s="39">
        <v>1531.6550000000002</v>
      </c>
      <c r="N32" s="33">
        <v>296.28699999999992</v>
      </c>
      <c r="O32" s="33">
        <v>1235.3680000000004</v>
      </c>
    </row>
    <row r="33" spans="2:15" x14ac:dyDescent="0.25">
      <c r="B33" s="7" t="s">
        <v>38</v>
      </c>
      <c r="C33" s="65">
        <v>1010.078</v>
      </c>
      <c r="D33" s="65"/>
      <c r="E33" s="65">
        <v>138.47399999999999</v>
      </c>
      <c r="F33" s="65">
        <v>138.47399999999999</v>
      </c>
      <c r="G33" s="65">
        <v>0</v>
      </c>
      <c r="H33" s="65"/>
      <c r="I33" s="65">
        <v>287.471</v>
      </c>
      <c r="J33" s="33">
        <v>99.025000000000006</v>
      </c>
      <c r="K33" s="33">
        <v>188.446</v>
      </c>
      <c r="L33" s="35"/>
      <c r="M33" s="39">
        <v>584.13299999999992</v>
      </c>
      <c r="N33" s="33">
        <v>40.093000000000004</v>
      </c>
      <c r="O33" s="33">
        <v>544.04</v>
      </c>
    </row>
    <row r="34" spans="2:15" ht="15.75" thickBot="1" x14ac:dyDescent="0.3">
      <c r="B34" s="13" t="s">
        <v>39</v>
      </c>
      <c r="C34" s="42">
        <v>2533.7670000000003</v>
      </c>
      <c r="D34" s="42"/>
      <c r="E34" s="42">
        <v>322.86099999999999</v>
      </c>
      <c r="F34" s="42">
        <v>219.048</v>
      </c>
      <c r="G34" s="42">
        <v>103.81299999999999</v>
      </c>
      <c r="H34" s="42"/>
      <c r="I34" s="42">
        <v>1315.704</v>
      </c>
      <c r="J34" s="42">
        <v>39.814999999999998</v>
      </c>
      <c r="K34" s="42">
        <v>1275.8889999999999</v>
      </c>
      <c r="L34" s="42"/>
      <c r="M34" s="42">
        <v>895.20200000000011</v>
      </c>
      <c r="N34" s="42">
        <v>2.3200000000000003</v>
      </c>
      <c r="O34" s="42">
        <v>892.88200000000006</v>
      </c>
    </row>
    <row r="35" spans="2:15" x14ac:dyDescent="0.25">
      <c r="B35" s="89"/>
      <c r="C35" s="15"/>
      <c r="D35" s="15"/>
      <c r="E35" s="15"/>
      <c r="F35" s="15"/>
      <c r="G35" s="15"/>
      <c r="H35" s="15"/>
      <c r="I35" s="15"/>
      <c r="J35" s="15"/>
      <c r="K35" s="15"/>
      <c r="L35" s="15"/>
      <c r="M35" s="15"/>
      <c r="N35" s="15"/>
      <c r="O35" s="94"/>
    </row>
    <row r="36" spans="2:15" ht="15" customHeight="1" x14ac:dyDescent="0.25">
      <c r="B36" s="152" t="s">
        <v>131</v>
      </c>
      <c r="C36" s="152"/>
      <c r="D36" s="152"/>
      <c r="E36" s="152"/>
      <c r="F36" s="152"/>
      <c r="G36" s="152"/>
      <c r="H36" s="152"/>
      <c r="I36" s="152"/>
      <c r="J36" s="152"/>
      <c r="K36" s="152"/>
      <c r="L36" s="152"/>
      <c r="M36" s="152"/>
      <c r="N36" s="152"/>
      <c r="O36" s="152"/>
    </row>
    <row r="37" spans="2:15" ht="15" customHeight="1" x14ac:dyDescent="0.25">
      <c r="B37" s="153" t="s">
        <v>113</v>
      </c>
      <c r="C37" s="153"/>
      <c r="D37" s="153"/>
      <c r="E37" s="153"/>
      <c r="F37" s="153"/>
      <c r="G37" s="153"/>
      <c r="H37" s="153"/>
      <c r="I37" s="153"/>
      <c r="J37" s="153"/>
      <c r="K37" s="153"/>
      <c r="L37" s="153"/>
      <c r="M37" s="153"/>
      <c r="N37" s="153"/>
      <c r="O37" s="153"/>
    </row>
    <row r="38" spans="2:15" ht="16.5" x14ac:dyDescent="0.25">
      <c r="B38" s="71" t="s">
        <v>223</v>
      </c>
      <c r="C38" s="85"/>
      <c r="D38" s="85"/>
      <c r="E38" s="85"/>
      <c r="F38" s="85"/>
      <c r="G38" s="85"/>
      <c r="H38" s="85"/>
      <c r="I38" s="85"/>
      <c r="J38" s="85"/>
      <c r="K38" s="85"/>
      <c r="L38" s="85"/>
      <c r="M38" s="85"/>
      <c r="N38" s="85"/>
      <c r="O38" s="85"/>
    </row>
    <row r="39" spans="2:15" ht="16.5" x14ac:dyDescent="0.25">
      <c r="B39" s="71" t="s">
        <v>43</v>
      </c>
      <c r="C39" s="85"/>
      <c r="D39" s="85"/>
      <c r="E39" s="85"/>
      <c r="F39" s="85"/>
      <c r="G39" s="85"/>
      <c r="H39" s="85"/>
      <c r="I39" s="85"/>
      <c r="J39" s="85"/>
      <c r="K39" s="85"/>
      <c r="L39" s="85"/>
      <c r="M39" s="85"/>
      <c r="N39" s="85"/>
      <c r="O39" s="85"/>
    </row>
    <row r="42" spans="2:15" ht="15.75" x14ac:dyDescent="0.25">
      <c r="B42" s="145" t="s">
        <v>0</v>
      </c>
      <c r="C42" s="145"/>
      <c r="D42" s="145"/>
      <c r="E42" s="145"/>
      <c r="F42" s="145"/>
      <c r="G42" s="145"/>
      <c r="H42" s="145"/>
      <c r="I42" s="145"/>
      <c r="J42" s="145"/>
      <c r="K42" s="145"/>
      <c r="L42" s="145"/>
      <c r="M42" s="145"/>
      <c r="N42" s="145"/>
      <c r="O42" s="145"/>
    </row>
    <row r="43" spans="2:15" x14ac:dyDescent="0.25">
      <c r="B43" s="146" t="s">
        <v>222</v>
      </c>
      <c r="C43" s="146"/>
      <c r="D43" s="146"/>
      <c r="E43" s="146"/>
      <c r="F43" s="146"/>
      <c r="G43" s="146"/>
      <c r="H43" s="146"/>
      <c r="I43" s="146"/>
      <c r="J43" s="146"/>
      <c r="K43" s="146"/>
      <c r="L43" s="146"/>
      <c r="M43" s="146"/>
      <c r="N43" s="146"/>
      <c r="O43" s="146"/>
    </row>
    <row r="44" spans="2:15" ht="16.5" x14ac:dyDescent="0.3">
      <c r="B44" s="1"/>
      <c r="C44" s="1"/>
      <c r="D44" s="1"/>
      <c r="E44" s="1"/>
      <c r="F44" s="1"/>
      <c r="G44" s="1"/>
      <c r="H44" s="1"/>
      <c r="I44" s="1"/>
      <c r="J44" s="1"/>
      <c r="K44" s="1"/>
      <c r="L44" s="1"/>
      <c r="M44" s="1"/>
      <c r="N44" s="1"/>
      <c r="O44" s="59"/>
    </row>
    <row r="45" spans="2:15" ht="15.75" thickBot="1" x14ac:dyDescent="0.3">
      <c r="B45" s="144" t="s">
        <v>2</v>
      </c>
      <c r="C45" s="144"/>
      <c r="D45" s="144"/>
      <c r="E45" s="144"/>
      <c r="F45" s="144"/>
      <c r="G45" s="144"/>
      <c r="H45" s="144"/>
      <c r="I45" s="144"/>
      <c r="J45" s="144"/>
      <c r="K45" s="144"/>
      <c r="L45" s="144"/>
      <c r="M45" s="144"/>
      <c r="N45" s="144"/>
      <c r="O45" s="144"/>
    </row>
    <row r="46" spans="2:15" x14ac:dyDescent="0.25">
      <c r="B46" s="147" t="s">
        <v>3</v>
      </c>
      <c r="C46" s="149" t="s">
        <v>47</v>
      </c>
      <c r="D46" s="54"/>
      <c r="E46" s="151" t="s">
        <v>5</v>
      </c>
      <c r="F46" s="151"/>
      <c r="G46" s="151"/>
      <c r="H46" s="3"/>
      <c r="I46" s="147" t="s">
        <v>123</v>
      </c>
      <c r="J46" s="147"/>
      <c r="K46" s="147"/>
      <c r="L46" s="3"/>
      <c r="M46" s="147" t="s">
        <v>124</v>
      </c>
      <c r="N46" s="147"/>
      <c r="O46" s="147"/>
    </row>
    <row r="47" spans="2:15" ht="26.25" thickBot="1" x14ac:dyDescent="0.3">
      <c r="B47" s="148"/>
      <c r="C47" s="150"/>
      <c r="D47" s="28"/>
      <c r="E47" s="4" t="s">
        <v>8</v>
      </c>
      <c r="F47" s="4" t="s">
        <v>9</v>
      </c>
      <c r="G47" s="4" t="s">
        <v>10</v>
      </c>
      <c r="H47" s="28"/>
      <c r="I47" s="4" t="s">
        <v>11</v>
      </c>
      <c r="J47" s="4" t="s">
        <v>12</v>
      </c>
      <c r="K47" s="4" t="s">
        <v>10</v>
      </c>
      <c r="L47" s="28"/>
      <c r="M47" s="4" t="s">
        <v>11</v>
      </c>
      <c r="N47" s="4" t="s">
        <v>12</v>
      </c>
      <c r="O47" s="4" t="s">
        <v>10</v>
      </c>
    </row>
    <row r="48" spans="2:15" x14ac:dyDescent="0.25">
      <c r="B48" s="55" t="s">
        <v>13</v>
      </c>
      <c r="C48" s="29">
        <v>175853.44232607001</v>
      </c>
      <c r="D48" s="143"/>
      <c r="E48" s="29">
        <v>27525.332000069993</v>
      </c>
      <c r="F48" s="29">
        <v>22871.332000079998</v>
      </c>
      <c r="G48" s="29">
        <v>4653.999999990001</v>
      </c>
      <c r="H48" s="143"/>
      <c r="I48" s="29">
        <v>27732.1518</v>
      </c>
      <c r="J48" s="29">
        <v>6991.7481000000007</v>
      </c>
      <c r="K48" s="29">
        <v>20740.403699999999</v>
      </c>
      <c r="L48" s="143"/>
      <c r="M48" s="29">
        <v>120595.95852600006</v>
      </c>
      <c r="N48" s="29">
        <v>4143.5460000000003</v>
      </c>
      <c r="O48" s="29">
        <v>116452.41252600004</v>
      </c>
    </row>
    <row r="49" spans="2:15" x14ac:dyDescent="0.25">
      <c r="B49" s="11" t="s">
        <v>14</v>
      </c>
      <c r="C49" s="65">
        <v>3910.52988</v>
      </c>
      <c r="D49" s="65"/>
      <c r="E49" s="65">
        <v>1154.6659999999999</v>
      </c>
      <c r="F49" s="65">
        <v>849.42199999999991</v>
      </c>
      <c r="G49" s="65">
        <v>305.24399999999997</v>
      </c>
      <c r="H49" s="65"/>
      <c r="I49" s="65">
        <v>585.01800000000003</v>
      </c>
      <c r="J49" s="33">
        <v>37.271999999999998</v>
      </c>
      <c r="K49" s="33">
        <v>547.74599999999998</v>
      </c>
      <c r="L49" s="35"/>
      <c r="M49" s="33">
        <v>2170.8458799999999</v>
      </c>
      <c r="N49" s="33">
        <v>42.564</v>
      </c>
      <c r="O49" s="33">
        <v>2128.28188</v>
      </c>
    </row>
    <row r="50" spans="2:15" x14ac:dyDescent="0.25">
      <c r="B50" s="7" t="s">
        <v>15</v>
      </c>
      <c r="C50" s="65">
        <v>10747.285100000003</v>
      </c>
      <c r="D50" s="65"/>
      <c r="E50" s="65">
        <v>1884.9090000000003</v>
      </c>
      <c r="F50" s="65">
        <v>1436.1930000000002</v>
      </c>
      <c r="G50" s="65">
        <v>448.71600000000007</v>
      </c>
      <c r="H50" s="65"/>
      <c r="I50" s="65">
        <v>1222.721</v>
      </c>
      <c r="J50" s="33">
        <v>525.71799999999985</v>
      </c>
      <c r="K50" s="33">
        <v>697.00300000000016</v>
      </c>
      <c r="L50" s="35"/>
      <c r="M50" s="33">
        <v>7639.6551000000027</v>
      </c>
      <c r="N50" s="33">
        <v>138.941</v>
      </c>
      <c r="O50" s="33">
        <v>7500.7141000000029</v>
      </c>
    </row>
    <row r="51" spans="2:15" x14ac:dyDescent="0.25">
      <c r="B51" s="7" t="s">
        <v>16</v>
      </c>
      <c r="C51" s="65">
        <v>8358.7605100000001</v>
      </c>
      <c r="D51" s="65"/>
      <c r="E51" s="65">
        <v>1282.4510000000002</v>
      </c>
      <c r="F51" s="65">
        <v>1048.3280000000002</v>
      </c>
      <c r="G51" s="65">
        <v>234.12299999999999</v>
      </c>
      <c r="H51" s="65"/>
      <c r="I51" s="65">
        <v>1298.5949999999996</v>
      </c>
      <c r="J51" s="33">
        <v>255.012</v>
      </c>
      <c r="K51" s="33">
        <v>1043.5829999999996</v>
      </c>
      <c r="L51" s="35"/>
      <c r="M51" s="33">
        <v>5777.7145100000007</v>
      </c>
      <c r="N51" s="33">
        <v>80.869</v>
      </c>
      <c r="O51" s="33">
        <v>5696.845510000001</v>
      </c>
    </row>
    <row r="52" spans="2:15" x14ac:dyDescent="0.25">
      <c r="B52" s="7" t="s">
        <v>17</v>
      </c>
      <c r="C52" s="65">
        <v>10333.905000000004</v>
      </c>
      <c r="D52" s="65"/>
      <c r="E52" s="65">
        <v>1495.2360000000003</v>
      </c>
      <c r="F52" s="65">
        <v>1271.3740000000003</v>
      </c>
      <c r="G52" s="65">
        <v>223.86199999999999</v>
      </c>
      <c r="H52" s="65"/>
      <c r="I52" s="65">
        <v>1749.739</v>
      </c>
      <c r="J52" s="33">
        <v>1009.3549999999999</v>
      </c>
      <c r="K52" s="33">
        <v>740.38400000000001</v>
      </c>
      <c r="L52" s="35"/>
      <c r="M52" s="33">
        <v>7088.9300000000039</v>
      </c>
      <c r="N52" s="33">
        <v>605.8660000000001</v>
      </c>
      <c r="O52" s="33">
        <v>6483.0640000000039</v>
      </c>
    </row>
    <row r="53" spans="2:15" x14ac:dyDescent="0.25">
      <c r="B53" s="7" t="s">
        <v>18</v>
      </c>
      <c r="C53" s="65">
        <v>12638.772999999997</v>
      </c>
      <c r="D53" s="65"/>
      <c r="E53" s="65">
        <v>1801.1420000000007</v>
      </c>
      <c r="F53" s="65">
        <v>1727.6750000000006</v>
      </c>
      <c r="G53" s="65">
        <v>73.467000000000013</v>
      </c>
      <c r="H53" s="65"/>
      <c r="I53" s="65">
        <v>1783.8419999999996</v>
      </c>
      <c r="J53" s="33">
        <v>355.62699999999995</v>
      </c>
      <c r="K53" s="33">
        <v>1428.2149999999997</v>
      </c>
      <c r="L53" s="35"/>
      <c r="M53" s="33">
        <v>9053.788999999997</v>
      </c>
      <c r="N53" s="33">
        <v>122.57100000000001</v>
      </c>
      <c r="O53" s="33">
        <v>8931.2179999999971</v>
      </c>
    </row>
    <row r="54" spans="2:15" x14ac:dyDescent="0.25">
      <c r="B54" s="7" t="s">
        <v>19</v>
      </c>
      <c r="C54" s="65">
        <v>15905.885000020031</v>
      </c>
      <c r="D54" s="65"/>
      <c r="E54" s="65">
        <v>1733.9520000200005</v>
      </c>
      <c r="F54" s="65">
        <v>1534.5250000200003</v>
      </c>
      <c r="G54" s="65">
        <v>199.42700000000002</v>
      </c>
      <c r="H54" s="65"/>
      <c r="I54" s="65">
        <v>935.69200000000001</v>
      </c>
      <c r="J54" s="33">
        <v>97.379000000000019</v>
      </c>
      <c r="K54" s="33">
        <v>838.31299999999999</v>
      </c>
      <c r="L54" s="35"/>
      <c r="M54" s="33">
        <v>13236.241000000031</v>
      </c>
      <c r="N54" s="33">
        <v>381.31100000000004</v>
      </c>
      <c r="O54" s="33">
        <v>12854.930000000031</v>
      </c>
    </row>
    <row r="55" spans="2:15" x14ac:dyDescent="0.25">
      <c r="B55" s="7" t="s">
        <v>20</v>
      </c>
      <c r="C55" s="65">
        <v>51.745999999999995</v>
      </c>
      <c r="D55" s="65"/>
      <c r="E55" s="65">
        <v>44.846999999999994</v>
      </c>
      <c r="F55" s="65">
        <v>44.846999999999994</v>
      </c>
      <c r="G55" s="65">
        <v>0</v>
      </c>
      <c r="H55" s="65"/>
      <c r="I55" s="65">
        <v>6.8990000000000009</v>
      </c>
      <c r="J55" s="33">
        <v>5.1510000000000007</v>
      </c>
      <c r="K55" s="33">
        <v>1.748</v>
      </c>
      <c r="L55" s="35"/>
      <c r="M55" s="33">
        <v>0</v>
      </c>
      <c r="N55" s="33">
        <v>0</v>
      </c>
      <c r="O55" s="33">
        <v>0</v>
      </c>
    </row>
    <row r="56" spans="2:15" x14ac:dyDescent="0.25">
      <c r="B56" s="7" t="s">
        <v>21</v>
      </c>
      <c r="C56" s="65">
        <v>17577.091099990015</v>
      </c>
      <c r="D56" s="65"/>
      <c r="E56" s="65">
        <v>2017.8599999900002</v>
      </c>
      <c r="F56" s="65">
        <v>1665.0409999999999</v>
      </c>
      <c r="G56" s="65">
        <v>352.81899999000018</v>
      </c>
      <c r="H56" s="65"/>
      <c r="I56" s="65">
        <v>2746.5241000000005</v>
      </c>
      <c r="J56" s="33">
        <v>811.95700000000033</v>
      </c>
      <c r="K56" s="33">
        <v>1934.5671000000004</v>
      </c>
      <c r="L56" s="35"/>
      <c r="M56" s="33">
        <v>12812.707000000013</v>
      </c>
      <c r="N56" s="33">
        <v>349.10900000000015</v>
      </c>
      <c r="O56" s="33">
        <v>12463.598000000013</v>
      </c>
    </row>
    <row r="57" spans="2:15" x14ac:dyDescent="0.25">
      <c r="B57" s="7" t="s">
        <v>22</v>
      </c>
      <c r="C57" s="65">
        <v>8505.2726000000002</v>
      </c>
      <c r="D57" s="65"/>
      <c r="E57" s="65">
        <v>1444.393</v>
      </c>
      <c r="F57" s="65">
        <v>1190.902</v>
      </c>
      <c r="G57" s="65">
        <v>253.49100000000001</v>
      </c>
      <c r="H57" s="65"/>
      <c r="I57" s="65">
        <v>2003.3629999999998</v>
      </c>
      <c r="J57" s="33">
        <v>444.25699999999995</v>
      </c>
      <c r="K57" s="33">
        <v>1559.106</v>
      </c>
      <c r="L57" s="35"/>
      <c r="M57" s="33">
        <v>5057.5166000000008</v>
      </c>
      <c r="N57" s="33">
        <v>139.18100000000004</v>
      </c>
      <c r="O57" s="33">
        <v>4918.3356000000003</v>
      </c>
    </row>
    <row r="58" spans="2:15" x14ac:dyDescent="0.25">
      <c r="B58" s="7" t="s">
        <v>23</v>
      </c>
      <c r="C58" s="65">
        <v>7988.0050000000001</v>
      </c>
      <c r="D58" s="65"/>
      <c r="E58" s="65">
        <v>1335.318</v>
      </c>
      <c r="F58" s="65">
        <v>929.59699999999998</v>
      </c>
      <c r="G58" s="65">
        <v>405.721</v>
      </c>
      <c r="H58" s="65"/>
      <c r="I58" s="65">
        <v>792.221</v>
      </c>
      <c r="J58" s="33">
        <v>20.501999999999999</v>
      </c>
      <c r="K58" s="33">
        <v>771.71900000000005</v>
      </c>
      <c r="L58" s="35"/>
      <c r="M58" s="33">
        <v>5860.4660000000003</v>
      </c>
      <c r="N58" s="33">
        <v>118.78100000000001</v>
      </c>
      <c r="O58" s="33">
        <v>5741.6850000000004</v>
      </c>
    </row>
    <row r="59" spans="2:15" x14ac:dyDescent="0.25">
      <c r="B59" s="7" t="s">
        <v>24</v>
      </c>
      <c r="C59" s="65">
        <v>3723.0210000000002</v>
      </c>
      <c r="D59" s="65"/>
      <c r="E59" s="65">
        <v>698.18599999999969</v>
      </c>
      <c r="F59" s="65">
        <v>696.09199999999964</v>
      </c>
      <c r="G59" s="65">
        <v>2.0939999999999999</v>
      </c>
      <c r="H59" s="65"/>
      <c r="I59" s="65">
        <v>746.34400000000005</v>
      </c>
      <c r="J59" s="33">
        <v>165.815</v>
      </c>
      <c r="K59" s="33">
        <v>580.529</v>
      </c>
      <c r="L59" s="35"/>
      <c r="M59" s="33">
        <v>2278.4910000000004</v>
      </c>
      <c r="N59" s="33">
        <v>207.17999999999992</v>
      </c>
      <c r="O59" s="33">
        <v>2071.3110000000006</v>
      </c>
    </row>
    <row r="60" spans="2:15" x14ac:dyDescent="0.25">
      <c r="B60" s="7" t="s">
        <v>25</v>
      </c>
      <c r="C60" s="65">
        <v>12101.560000000005</v>
      </c>
      <c r="D60" s="65"/>
      <c r="E60" s="65">
        <v>1824.8680000000004</v>
      </c>
      <c r="F60" s="65">
        <v>1118.3960000000004</v>
      </c>
      <c r="G60" s="65">
        <v>706.47199999999998</v>
      </c>
      <c r="H60" s="65"/>
      <c r="I60" s="65">
        <v>1115.3449999999998</v>
      </c>
      <c r="J60" s="33">
        <v>118.52699999999997</v>
      </c>
      <c r="K60" s="33">
        <v>996.81799999999976</v>
      </c>
      <c r="L60" s="35"/>
      <c r="M60" s="33">
        <v>9161.3470000000052</v>
      </c>
      <c r="N60" s="33">
        <v>392.01300000000003</v>
      </c>
      <c r="O60" s="33">
        <v>8769.3340000000044</v>
      </c>
    </row>
    <row r="61" spans="2:15" x14ac:dyDescent="0.25">
      <c r="B61" s="7" t="s">
        <v>26</v>
      </c>
      <c r="C61" s="65">
        <v>8930.4320000000025</v>
      </c>
      <c r="D61" s="65"/>
      <c r="E61" s="65">
        <v>1335.5899999999997</v>
      </c>
      <c r="F61" s="65">
        <v>949.50899999999979</v>
      </c>
      <c r="G61" s="65">
        <v>386.08100000000002</v>
      </c>
      <c r="H61" s="65"/>
      <c r="I61" s="65">
        <v>1935.5690000000004</v>
      </c>
      <c r="J61" s="33">
        <v>106.80400000000003</v>
      </c>
      <c r="K61" s="33">
        <v>1828.7650000000003</v>
      </c>
      <c r="L61" s="35"/>
      <c r="M61" s="33">
        <v>5659.273000000002</v>
      </c>
      <c r="N61" s="33">
        <v>165.78200000000004</v>
      </c>
      <c r="O61" s="33">
        <v>5493.4910000000018</v>
      </c>
    </row>
    <row r="62" spans="2:15" x14ac:dyDescent="0.25">
      <c r="B62" s="7" t="s">
        <v>27</v>
      </c>
      <c r="C62" s="65">
        <v>3371.6424000000002</v>
      </c>
      <c r="D62" s="65"/>
      <c r="E62" s="65">
        <v>515.06199999999978</v>
      </c>
      <c r="F62" s="65">
        <v>450.56399999999979</v>
      </c>
      <c r="G62" s="65">
        <v>64.49799999999999</v>
      </c>
      <c r="H62" s="65"/>
      <c r="I62" s="65">
        <v>689.72800000000007</v>
      </c>
      <c r="J62" s="33">
        <v>212.96800000000002</v>
      </c>
      <c r="K62" s="33">
        <v>476.76</v>
      </c>
      <c r="L62" s="35"/>
      <c r="M62" s="33">
        <v>2166.8524000000002</v>
      </c>
      <c r="N62" s="33">
        <v>38.83</v>
      </c>
      <c r="O62" s="33">
        <v>2128.0224000000003</v>
      </c>
    </row>
    <row r="63" spans="2:15" x14ac:dyDescent="0.25">
      <c r="B63" s="7" t="s">
        <v>28</v>
      </c>
      <c r="C63" s="65">
        <v>7613.5538999999981</v>
      </c>
      <c r="D63" s="65"/>
      <c r="E63" s="65">
        <v>1683.4029999999998</v>
      </c>
      <c r="F63" s="65">
        <v>1417.2369999999996</v>
      </c>
      <c r="G63" s="65">
        <v>266.16600000000005</v>
      </c>
      <c r="H63" s="65"/>
      <c r="I63" s="65">
        <v>1598.7248999999999</v>
      </c>
      <c r="J63" s="33">
        <v>191.65399999999997</v>
      </c>
      <c r="K63" s="33">
        <v>1407.0708999999999</v>
      </c>
      <c r="L63" s="35"/>
      <c r="M63" s="33">
        <v>4331.4259999999986</v>
      </c>
      <c r="N63" s="33">
        <v>160.91599999999997</v>
      </c>
      <c r="O63" s="33">
        <v>4170.5099999999984</v>
      </c>
    </row>
    <row r="64" spans="2:15" x14ac:dyDescent="0.25">
      <c r="B64" s="7" t="s">
        <v>29</v>
      </c>
      <c r="C64" s="65">
        <v>1008.5549999999999</v>
      </c>
      <c r="D64" s="65"/>
      <c r="E64" s="65">
        <v>128.87099999999998</v>
      </c>
      <c r="F64" s="65">
        <v>88.611999999999995</v>
      </c>
      <c r="G64" s="65">
        <v>40.259</v>
      </c>
      <c r="H64" s="65"/>
      <c r="I64" s="65">
        <v>320.74700000000007</v>
      </c>
      <c r="J64" s="33">
        <v>97.167000000000002</v>
      </c>
      <c r="K64" s="33">
        <v>223.58000000000004</v>
      </c>
      <c r="L64" s="35"/>
      <c r="M64" s="33">
        <v>558.9369999999999</v>
      </c>
      <c r="N64" s="33">
        <v>88.435000000000002</v>
      </c>
      <c r="O64" s="33">
        <v>470.50199999999995</v>
      </c>
    </row>
    <row r="65" spans="2:15" x14ac:dyDescent="0.25">
      <c r="B65" s="7" t="s">
        <v>30</v>
      </c>
      <c r="C65" s="65">
        <v>2048.9970000000003</v>
      </c>
      <c r="D65" s="65"/>
      <c r="E65" s="65">
        <v>399.43099999999998</v>
      </c>
      <c r="F65" s="65">
        <v>399.43099999999998</v>
      </c>
      <c r="G65" s="65">
        <v>0</v>
      </c>
      <c r="H65" s="65"/>
      <c r="I65" s="65">
        <v>340.02099999999996</v>
      </c>
      <c r="J65" s="33">
        <v>87.988</v>
      </c>
      <c r="K65" s="33">
        <v>252.03299999999996</v>
      </c>
      <c r="L65" s="35"/>
      <c r="M65" s="33">
        <v>1309.5450000000001</v>
      </c>
      <c r="N65" s="33">
        <v>6.4049999999999994</v>
      </c>
      <c r="O65" s="33">
        <v>1303.1400000000001</v>
      </c>
    </row>
    <row r="66" spans="2:15" x14ac:dyDescent="0.25">
      <c r="B66" s="7" t="s">
        <v>31</v>
      </c>
      <c r="C66" s="65">
        <v>2949.174</v>
      </c>
      <c r="D66" s="65"/>
      <c r="E66" s="65">
        <v>470.28500000000008</v>
      </c>
      <c r="F66" s="65">
        <v>470.28500000000008</v>
      </c>
      <c r="G66" s="65">
        <v>0</v>
      </c>
      <c r="H66" s="65"/>
      <c r="I66" s="65">
        <v>903.05499999999995</v>
      </c>
      <c r="J66" s="33">
        <v>238.33600000000001</v>
      </c>
      <c r="K66" s="33">
        <v>664.71899999999994</v>
      </c>
      <c r="L66" s="35"/>
      <c r="M66" s="33">
        <v>1575.8340000000001</v>
      </c>
      <c r="N66" s="33">
        <v>157.82500000000005</v>
      </c>
      <c r="O66" s="33">
        <v>1418.009</v>
      </c>
    </row>
    <row r="67" spans="2:15" x14ac:dyDescent="0.25">
      <c r="B67" s="7" t="s">
        <v>32</v>
      </c>
      <c r="C67" s="65">
        <v>3660.3909999999996</v>
      </c>
      <c r="D67" s="65"/>
      <c r="E67" s="65">
        <v>564.58699999999988</v>
      </c>
      <c r="F67" s="65">
        <v>383.32299999999992</v>
      </c>
      <c r="G67" s="65">
        <v>181.26399999999998</v>
      </c>
      <c r="H67" s="65"/>
      <c r="I67" s="65">
        <v>910.75200000000018</v>
      </c>
      <c r="J67" s="33">
        <v>132.64400000000001</v>
      </c>
      <c r="K67" s="33">
        <v>778.10800000000017</v>
      </c>
      <c r="L67" s="35"/>
      <c r="M67" s="33">
        <v>2185.0519999999997</v>
      </c>
      <c r="N67" s="33">
        <v>24.773999999999997</v>
      </c>
      <c r="O67" s="33">
        <v>2160.2779999999998</v>
      </c>
    </row>
    <row r="68" spans="2:15" x14ac:dyDescent="0.25">
      <c r="B68" s="7" t="s">
        <v>34</v>
      </c>
      <c r="C68" s="65">
        <v>8963.3300000600011</v>
      </c>
      <c r="D68" s="65"/>
      <c r="E68" s="65">
        <v>1782.4120000600003</v>
      </c>
      <c r="F68" s="65">
        <v>1669.4910000600003</v>
      </c>
      <c r="G68" s="65">
        <v>112.92099999999999</v>
      </c>
      <c r="H68" s="65"/>
      <c r="I68" s="65">
        <v>636.99599999999987</v>
      </c>
      <c r="J68" s="33">
        <v>170.041</v>
      </c>
      <c r="K68" s="33">
        <v>466.95499999999993</v>
      </c>
      <c r="L68" s="35"/>
      <c r="M68" s="33">
        <v>6543.9220000000005</v>
      </c>
      <c r="N68" s="33">
        <v>386.49900000000019</v>
      </c>
      <c r="O68" s="33">
        <v>6157.4230000000007</v>
      </c>
    </row>
    <row r="69" spans="2:15" x14ac:dyDescent="0.25">
      <c r="B69" s="7" t="s">
        <v>35</v>
      </c>
      <c r="C69" s="65">
        <v>13642.052236</v>
      </c>
      <c r="D69" s="65"/>
      <c r="E69" s="65">
        <v>2020.7789999999998</v>
      </c>
      <c r="F69" s="65">
        <v>1807.9169999999997</v>
      </c>
      <c r="G69" s="65">
        <v>212.86199999999999</v>
      </c>
      <c r="H69" s="65"/>
      <c r="I69" s="65">
        <v>2353.9842000000003</v>
      </c>
      <c r="J69" s="33">
        <v>1398.9971000000003</v>
      </c>
      <c r="K69" s="33">
        <v>954.98710000000017</v>
      </c>
      <c r="L69" s="35"/>
      <c r="M69" s="33">
        <v>9267.2890359999983</v>
      </c>
      <c r="N69" s="33">
        <v>116.119</v>
      </c>
      <c r="O69" s="33">
        <v>9151.1700359999977</v>
      </c>
    </row>
    <row r="70" spans="2:15" x14ac:dyDescent="0.25">
      <c r="B70" s="7" t="s">
        <v>36</v>
      </c>
      <c r="C70" s="65">
        <v>5629.8099999999986</v>
      </c>
      <c r="D70" s="65"/>
      <c r="E70" s="65">
        <v>815.07599999999991</v>
      </c>
      <c r="F70" s="65">
        <v>770.58999999999992</v>
      </c>
      <c r="G70" s="65">
        <v>44.486000000000004</v>
      </c>
      <c r="H70" s="65"/>
      <c r="I70" s="65">
        <v>965.298</v>
      </c>
      <c r="J70" s="33">
        <v>192.66399999999999</v>
      </c>
      <c r="K70" s="33">
        <v>772.63400000000001</v>
      </c>
      <c r="L70" s="35"/>
      <c r="M70" s="39">
        <v>3849.4359999999988</v>
      </c>
      <c r="N70" s="33">
        <v>80.611999999999995</v>
      </c>
      <c r="O70" s="33">
        <v>3768.8239999999987</v>
      </c>
    </row>
    <row r="71" spans="2:15" x14ac:dyDescent="0.25">
      <c r="B71" s="7" t="s">
        <v>37</v>
      </c>
      <c r="C71" s="65">
        <v>2650.5716000000002</v>
      </c>
      <c r="D71" s="65"/>
      <c r="E71" s="65">
        <v>630.673</v>
      </c>
      <c r="F71" s="65">
        <v>594.45899999999995</v>
      </c>
      <c r="G71" s="65">
        <v>36.213999999999999</v>
      </c>
      <c r="H71" s="65"/>
      <c r="I71" s="65">
        <v>487.36060000000009</v>
      </c>
      <c r="J71" s="33">
        <v>177.07300000000001</v>
      </c>
      <c r="K71" s="33">
        <v>310.28760000000011</v>
      </c>
      <c r="L71" s="35"/>
      <c r="M71" s="39">
        <v>1532.5380000000002</v>
      </c>
      <c r="N71" s="33">
        <v>297.1699999999999</v>
      </c>
      <c r="O71" s="33">
        <v>1235.3680000000004</v>
      </c>
    </row>
    <row r="72" spans="2:15" x14ac:dyDescent="0.25">
      <c r="B72" s="7" t="s">
        <v>38</v>
      </c>
      <c r="C72" s="65">
        <v>1008.894</v>
      </c>
      <c r="D72" s="65"/>
      <c r="E72" s="65">
        <v>138.47400000000005</v>
      </c>
      <c r="F72" s="65">
        <v>138.47400000000005</v>
      </c>
      <c r="G72" s="65">
        <v>0</v>
      </c>
      <c r="H72" s="65"/>
      <c r="I72" s="65">
        <v>287.471</v>
      </c>
      <c r="J72" s="33">
        <v>99.025000000000006</v>
      </c>
      <c r="K72" s="33">
        <v>188.446</v>
      </c>
      <c r="L72" s="35"/>
      <c r="M72" s="39">
        <v>582.94899999999996</v>
      </c>
      <c r="N72" s="33">
        <v>39.472999999999999</v>
      </c>
      <c r="O72" s="33">
        <v>543.476</v>
      </c>
    </row>
    <row r="73" spans="2:15" ht="15.75" thickBot="1" x14ac:dyDescent="0.3">
      <c r="B73" s="13" t="s">
        <v>39</v>
      </c>
      <c r="C73" s="42">
        <v>2534.2049999999999</v>
      </c>
      <c r="D73" s="42"/>
      <c r="E73" s="42">
        <v>322.86099999999993</v>
      </c>
      <c r="F73" s="42">
        <v>219.04799999999992</v>
      </c>
      <c r="G73" s="42">
        <v>103.813</v>
      </c>
      <c r="H73" s="42"/>
      <c r="I73" s="42">
        <v>1316.1419999999998</v>
      </c>
      <c r="J73" s="42">
        <v>39.814999999999998</v>
      </c>
      <c r="K73" s="42">
        <v>1276.3269999999998</v>
      </c>
      <c r="L73" s="42"/>
      <c r="M73" s="42">
        <v>895.20200000000011</v>
      </c>
      <c r="N73" s="42">
        <v>2.3200000000000003</v>
      </c>
      <c r="O73" s="42">
        <v>892.88200000000006</v>
      </c>
    </row>
    <row r="74" spans="2:15" x14ac:dyDescent="0.25">
      <c r="B74" s="89"/>
      <c r="C74" s="15"/>
      <c r="D74" s="15"/>
      <c r="E74" s="15"/>
      <c r="F74" s="15"/>
      <c r="G74" s="15"/>
      <c r="H74" s="15"/>
      <c r="I74" s="15"/>
      <c r="J74" s="15"/>
      <c r="K74" s="15"/>
      <c r="L74" s="15"/>
      <c r="M74" s="15"/>
      <c r="N74" s="15"/>
      <c r="O74" s="94"/>
    </row>
    <row r="75" spans="2:15" x14ac:dyDescent="0.25">
      <c r="B75" s="152" t="s">
        <v>131</v>
      </c>
      <c r="C75" s="152"/>
      <c r="D75" s="152"/>
      <c r="E75" s="152"/>
      <c r="F75" s="152"/>
      <c r="G75" s="152"/>
      <c r="H75" s="152"/>
      <c r="I75" s="152"/>
      <c r="J75" s="152"/>
      <c r="K75" s="152"/>
      <c r="L75" s="152"/>
      <c r="M75" s="152"/>
      <c r="N75" s="152"/>
      <c r="O75" s="152"/>
    </row>
    <row r="76" spans="2:15" x14ac:dyDescent="0.25">
      <c r="B76" s="153" t="s">
        <v>113</v>
      </c>
      <c r="C76" s="153"/>
      <c r="D76" s="153"/>
      <c r="E76" s="153"/>
      <c r="F76" s="153"/>
      <c r="G76" s="153"/>
      <c r="H76" s="153"/>
      <c r="I76" s="153"/>
      <c r="J76" s="153"/>
      <c r="K76" s="153"/>
      <c r="L76" s="153"/>
      <c r="M76" s="153"/>
      <c r="N76" s="153"/>
      <c r="O76" s="153"/>
    </row>
    <row r="77" spans="2:15" ht="16.5" x14ac:dyDescent="0.25">
      <c r="B77" s="71" t="s">
        <v>223</v>
      </c>
      <c r="C77" s="85"/>
      <c r="D77" s="85"/>
      <c r="E77" s="85"/>
      <c r="F77" s="85"/>
      <c r="G77" s="85"/>
      <c r="H77" s="85"/>
      <c r="I77" s="85"/>
      <c r="J77" s="85"/>
      <c r="K77" s="85"/>
      <c r="L77" s="85"/>
      <c r="M77" s="85"/>
      <c r="N77" s="85"/>
      <c r="O77" s="85"/>
    </row>
    <row r="78" spans="2:15" ht="16.5" x14ac:dyDescent="0.25">
      <c r="B78" s="71" t="s">
        <v>43</v>
      </c>
      <c r="C78" s="85"/>
      <c r="D78" s="85"/>
      <c r="E78" s="85"/>
      <c r="F78" s="85"/>
      <c r="G78" s="85"/>
      <c r="H78" s="85"/>
      <c r="I78" s="85"/>
      <c r="J78" s="85"/>
      <c r="K78" s="85"/>
      <c r="L78" s="85"/>
      <c r="M78" s="85"/>
      <c r="N78" s="85"/>
      <c r="O78" s="85"/>
    </row>
  </sheetData>
  <mergeCells count="20">
    <mergeCell ref="B36:O36"/>
    <mergeCell ref="B37:O37"/>
    <mergeCell ref="B3:O3"/>
    <mergeCell ref="B4:O4"/>
    <mergeCell ref="B6:O6"/>
    <mergeCell ref="B7:B8"/>
    <mergeCell ref="C7:C8"/>
    <mergeCell ref="E7:G7"/>
    <mergeCell ref="I7:K7"/>
    <mergeCell ref="M7:O7"/>
    <mergeCell ref="B75:O75"/>
    <mergeCell ref="B76:O76"/>
    <mergeCell ref="B42:O42"/>
    <mergeCell ref="B43:O43"/>
    <mergeCell ref="B45:O45"/>
    <mergeCell ref="B46:B47"/>
    <mergeCell ref="C46:C47"/>
    <mergeCell ref="E46:G46"/>
    <mergeCell ref="I46:K46"/>
    <mergeCell ref="M46:O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F3B2-0F0A-41FC-B129-DAC0CF9B1FC9}">
  <dimension ref="B3:O39"/>
  <sheetViews>
    <sheetView showGridLines="0" tabSelected="1" workbookViewId="0">
      <selection activeCell="J22" sqref="J22"/>
    </sheetView>
  </sheetViews>
  <sheetFormatPr baseColWidth="10" defaultRowHeight="15" x14ac:dyDescent="0.25"/>
  <cols>
    <col min="1" max="1" width="8.140625" customWidth="1"/>
    <col min="2" max="2" width="14.42578125" customWidth="1"/>
    <col min="4" max="4" width="2.85546875" customWidth="1"/>
    <col min="8" max="8" width="3.28515625" customWidth="1"/>
    <col min="12" max="12" width="2.42578125" customWidth="1"/>
  </cols>
  <sheetData>
    <row r="3" spans="2:15" ht="15.75" x14ac:dyDescent="0.25">
      <c r="B3" s="145" t="s">
        <v>0</v>
      </c>
      <c r="C3" s="145"/>
      <c r="D3" s="145"/>
      <c r="E3" s="145"/>
      <c r="F3" s="145"/>
      <c r="G3" s="145"/>
      <c r="H3" s="145"/>
      <c r="I3" s="145"/>
      <c r="J3" s="145"/>
      <c r="K3" s="145"/>
      <c r="L3" s="145"/>
      <c r="M3" s="145"/>
      <c r="N3" s="145"/>
      <c r="O3" s="145"/>
    </row>
    <row r="4" spans="2:15" x14ac:dyDescent="0.25">
      <c r="B4" s="146" t="s">
        <v>225</v>
      </c>
      <c r="C4" s="146"/>
      <c r="D4" s="146"/>
      <c r="E4" s="146"/>
      <c r="F4" s="146"/>
      <c r="G4" s="146"/>
      <c r="H4" s="146"/>
      <c r="I4" s="146"/>
      <c r="J4" s="146"/>
      <c r="K4" s="146"/>
      <c r="L4" s="146"/>
      <c r="M4" s="146"/>
      <c r="N4" s="146"/>
      <c r="O4" s="146"/>
    </row>
    <row r="5" spans="2:15" ht="16.5" x14ac:dyDescent="0.3">
      <c r="B5" s="1"/>
      <c r="C5" s="1"/>
      <c r="D5" s="1"/>
      <c r="E5" s="1"/>
      <c r="F5" s="1"/>
      <c r="G5" s="1"/>
      <c r="H5" s="1"/>
      <c r="I5" s="1"/>
      <c r="J5" s="1"/>
      <c r="K5" s="1"/>
      <c r="L5" s="1"/>
      <c r="M5" s="1"/>
      <c r="N5" s="1"/>
      <c r="O5" s="59"/>
    </row>
    <row r="6" spans="2:15" ht="15.75" thickBot="1" x14ac:dyDescent="0.3">
      <c r="B6" s="144" t="s">
        <v>2</v>
      </c>
      <c r="C6" s="144"/>
      <c r="D6" s="144"/>
      <c r="E6" s="144"/>
      <c r="F6" s="144"/>
      <c r="G6" s="144"/>
      <c r="H6" s="144"/>
      <c r="I6" s="144"/>
      <c r="J6" s="144"/>
      <c r="K6" s="144"/>
      <c r="L6" s="144"/>
      <c r="M6" s="144"/>
      <c r="N6" s="144"/>
      <c r="O6" s="144"/>
    </row>
    <row r="7" spans="2:15" ht="15" customHeight="1" x14ac:dyDescent="0.25">
      <c r="B7" s="147" t="s">
        <v>3</v>
      </c>
      <c r="C7" s="149" t="s">
        <v>47</v>
      </c>
      <c r="D7" s="54"/>
      <c r="E7" s="151" t="s">
        <v>5</v>
      </c>
      <c r="F7" s="151"/>
      <c r="G7" s="151"/>
      <c r="H7" s="3"/>
      <c r="I7" s="147" t="s">
        <v>123</v>
      </c>
      <c r="J7" s="147"/>
      <c r="K7" s="147"/>
      <c r="L7" s="3"/>
      <c r="M7" s="147" t="s">
        <v>124</v>
      </c>
      <c r="N7" s="147"/>
      <c r="O7" s="147"/>
    </row>
    <row r="8" spans="2:15" ht="26.25" thickBot="1" x14ac:dyDescent="0.3">
      <c r="B8" s="148"/>
      <c r="C8" s="150"/>
      <c r="D8" s="28"/>
      <c r="E8" s="4" t="s">
        <v>8</v>
      </c>
      <c r="F8" s="4" t="s">
        <v>9</v>
      </c>
      <c r="G8" s="4" t="s">
        <v>10</v>
      </c>
      <c r="H8" s="28"/>
      <c r="I8" s="4" t="s">
        <v>11</v>
      </c>
      <c r="J8" s="4" t="s">
        <v>12</v>
      </c>
      <c r="K8" s="4" t="s">
        <v>10</v>
      </c>
      <c r="L8" s="28"/>
      <c r="M8" s="4" t="s">
        <v>11</v>
      </c>
      <c r="N8" s="4" t="s">
        <v>12</v>
      </c>
      <c r="O8" s="4" t="s">
        <v>10</v>
      </c>
    </row>
    <row r="9" spans="2:15" x14ac:dyDescent="0.25">
      <c r="B9" s="92" t="s">
        <v>13</v>
      </c>
      <c r="C9" s="93">
        <v>176936.34987490237</v>
      </c>
      <c r="D9" s="142"/>
      <c r="E9" s="93">
        <v>27679.789000069992</v>
      </c>
      <c r="F9" s="93">
        <v>22875.143000079992</v>
      </c>
      <c r="G9" s="93">
        <v>4804.6459999900007</v>
      </c>
      <c r="H9" s="142"/>
      <c r="I9" s="93">
        <v>27828.458000000002</v>
      </c>
      <c r="J9" s="93">
        <v>7700.2149999999992</v>
      </c>
      <c r="K9" s="93">
        <v>20128.242999999995</v>
      </c>
      <c r="L9" s="142"/>
      <c r="M9" s="93">
        <v>121428.10287483239</v>
      </c>
      <c r="N9" s="93">
        <v>3944.96</v>
      </c>
      <c r="O9" s="93">
        <v>117483.1428748324</v>
      </c>
    </row>
    <row r="10" spans="2:15" x14ac:dyDescent="0.25">
      <c r="B10" s="11" t="s">
        <v>14</v>
      </c>
      <c r="C10" s="65">
        <v>3903.7320000000004</v>
      </c>
      <c r="D10" s="65"/>
      <c r="E10" s="65">
        <v>1155.1210000000001</v>
      </c>
      <c r="F10" s="65">
        <v>849.87700000000007</v>
      </c>
      <c r="G10" s="65">
        <v>305.24399999999997</v>
      </c>
      <c r="H10" s="65"/>
      <c r="I10" s="65">
        <v>585.01800000000003</v>
      </c>
      <c r="J10" s="33">
        <v>51.15</v>
      </c>
      <c r="K10" s="33">
        <v>533.86800000000005</v>
      </c>
      <c r="L10" s="35"/>
      <c r="M10" s="33">
        <v>2163.5930000000003</v>
      </c>
      <c r="N10" s="33">
        <v>42.564</v>
      </c>
      <c r="O10" s="33">
        <v>2121.0290000000005</v>
      </c>
    </row>
    <row r="11" spans="2:15" x14ac:dyDescent="0.25">
      <c r="B11" s="7" t="s">
        <v>15</v>
      </c>
      <c r="C11" s="65">
        <v>10767.648000000001</v>
      </c>
      <c r="D11" s="65"/>
      <c r="E11" s="65">
        <v>1885.0630000000003</v>
      </c>
      <c r="F11" s="65">
        <v>1436.3470000000002</v>
      </c>
      <c r="G11" s="65">
        <v>448.71600000000007</v>
      </c>
      <c r="H11" s="65"/>
      <c r="I11" s="65">
        <v>1222.721</v>
      </c>
      <c r="J11" s="33">
        <v>525.06799999999987</v>
      </c>
      <c r="K11" s="33">
        <v>697.65300000000002</v>
      </c>
      <c r="L11" s="35"/>
      <c r="M11" s="33">
        <v>7659.8640000000014</v>
      </c>
      <c r="N11" s="33">
        <v>138.928</v>
      </c>
      <c r="O11" s="33">
        <v>7520.9360000000015</v>
      </c>
    </row>
    <row r="12" spans="2:15" x14ac:dyDescent="0.25">
      <c r="B12" s="7" t="s">
        <v>16</v>
      </c>
      <c r="C12" s="65">
        <v>8358.9709999999995</v>
      </c>
      <c r="D12" s="65"/>
      <c r="E12" s="65">
        <v>1282.451</v>
      </c>
      <c r="F12" s="65">
        <v>1049.5360000000001</v>
      </c>
      <c r="G12" s="65">
        <v>232.91500000000002</v>
      </c>
      <c r="H12" s="65"/>
      <c r="I12" s="65">
        <v>1298.0969999999998</v>
      </c>
      <c r="J12" s="33">
        <v>302.27800000000002</v>
      </c>
      <c r="K12" s="33">
        <v>995.81899999999973</v>
      </c>
      <c r="L12" s="35"/>
      <c r="M12" s="33">
        <v>5778.4229999999998</v>
      </c>
      <c r="N12" s="33">
        <v>80.869</v>
      </c>
      <c r="O12" s="33">
        <v>5697.5540000000001</v>
      </c>
    </row>
    <row r="13" spans="2:15" x14ac:dyDescent="0.25">
      <c r="B13" s="7" t="s">
        <v>17</v>
      </c>
      <c r="C13" s="65">
        <v>10322.272000000001</v>
      </c>
      <c r="D13" s="65"/>
      <c r="E13" s="65">
        <v>1495.2359999999999</v>
      </c>
      <c r="F13" s="65">
        <v>1271.3739999999998</v>
      </c>
      <c r="G13" s="65">
        <v>223.86199999999997</v>
      </c>
      <c r="H13" s="65"/>
      <c r="I13" s="65">
        <v>1749.739</v>
      </c>
      <c r="J13" s="33">
        <v>1009.3549999999999</v>
      </c>
      <c r="K13" s="33">
        <v>740.38400000000001</v>
      </c>
      <c r="L13" s="35"/>
      <c r="M13" s="33">
        <v>7077.2970000000005</v>
      </c>
      <c r="N13" s="33">
        <v>605.86599999999999</v>
      </c>
      <c r="O13" s="33">
        <v>6471.4310000000005</v>
      </c>
    </row>
    <row r="14" spans="2:15" x14ac:dyDescent="0.25">
      <c r="B14" s="7" t="s">
        <v>18</v>
      </c>
      <c r="C14" s="65">
        <v>12678.733000000004</v>
      </c>
      <c r="D14" s="65"/>
      <c r="E14" s="65">
        <v>1805.074000000001</v>
      </c>
      <c r="F14" s="65">
        <v>1706.3400000000011</v>
      </c>
      <c r="G14" s="65">
        <v>98.734000000000023</v>
      </c>
      <c r="H14" s="65"/>
      <c r="I14" s="65">
        <v>1774.0339999999994</v>
      </c>
      <c r="J14" s="33">
        <v>633.72899999999981</v>
      </c>
      <c r="K14" s="33">
        <v>1140.3049999999996</v>
      </c>
      <c r="L14" s="35"/>
      <c r="M14" s="33">
        <v>9099.6250000000036</v>
      </c>
      <c r="N14" s="33">
        <v>145.30600000000004</v>
      </c>
      <c r="O14" s="33">
        <v>8954.3190000000031</v>
      </c>
    </row>
    <row r="15" spans="2:15" x14ac:dyDescent="0.25">
      <c r="B15" s="7" t="s">
        <v>19</v>
      </c>
      <c r="C15" s="65">
        <v>15935.565011852366</v>
      </c>
      <c r="D15" s="65"/>
      <c r="E15" s="65">
        <v>1733.9250000199986</v>
      </c>
      <c r="F15" s="65">
        <v>1543.9880000199987</v>
      </c>
      <c r="G15" s="65">
        <v>189.93699999999995</v>
      </c>
      <c r="H15" s="65"/>
      <c r="I15" s="65">
        <v>935.69200000000001</v>
      </c>
      <c r="J15" s="33">
        <v>97.379000000000019</v>
      </c>
      <c r="K15" s="33">
        <v>838.31299999999999</v>
      </c>
      <c r="L15" s="35"/>
      <c r="M15" s="33">
        <v>13265.948011832368</v>
      </c>
      <c r="N15" s="33">
        <v>358.80000000000007</v>
      </c>
      <c r="O15" s="33">
        <v>12907.148011832369</v>
      </c>
    </row>
    <row r="16" spans="2:15" x14ac:dyDescent="0.25">
      <c r="B16" s="7" t="s">
        <v>20</v>
      </c>
      <c r="C16" s="65">
        <v>51.586000000000013</v>
      </c>
      <c r="D16" s="65"/>
      <c r="E16" s="65">
        <v>44.687000000000012</v>
      </c>
      <c r="F16" s="65">
        <v>44.687000000000012</v>
      </c>
      <c r="G16" s="65">
        <v>0</v>
      </c>
      <c r="H16" s="65"/>
      <c r="I16" s="65">
        <v>6.8990000000000009</v>
      </c>
      <c r="J16" s="33">
        <v>5.1510000000000007</v>
      </c>
      <c r="K16" s="33">
        <v>1.748</v>
      </c>
      <c r="L16" s="35"/>
      <c r="M16" s="33">
        <v>0</v>
      </c>
      <c r="N16" s="33">
        <v>0</v>
      </c>
      <c r="O16" s="33">
        <v>0</v>
      </c>
    </row>
    <row r="17" spans="2:15" x14ac:dyDescent="0.25">
      <c r="B17" s="7" t="s">
        <v>21</v>
      </c>
      <c r="C17" s="65">
        <v>17779.13499998999</v>
      </c>
      <c r="D17" s="65"/>
      <c r="E17" s="65">
        <v>2097.3709999899993</v>
      </c>
      <c r="F17" s="65">
        <v>1665.1409999999996</v>
      </c>
      <c r="G17" s="65">
        <v>432.2299999899999</v>
      </c>
      <c r="H17" s="65"/>
      <c r="I17" s="65">
        <v>2863.123</v>
      </c>
      <c r="J17" s="33">
        <v>864.46300000000008</v>
      </c>
      <c r="K17" s="33">
        <v>1998.6599999999999</v>
      </c>
      <c r="L17" s="35"/>
      <c r="M17" s="33">
        <v>12818.640999999989</v>
      </c>
      <c r="N17" s="33">
        <v>349.10900000000021</v>
      </c>
      <c r="O17" s="33">
        <v>12469.531999999988</v>
      </c>
    </row>
    <row r="18" spans="2:15" x14ac:dyDescent="0.25">
      <c r="B18" s="7" t="s">
        <v>22</v>
      </c>
      <c r="C18" s="65">
        <v>8511.4259999999995</v>
      </c>
      <c r="D18" s="65"/>
      <c r="E18" s="65">
        <v>1445.3929999999996</v>
      </c>
      <c r="F18" s="65">
        <v>1191.9019999999996</v>
      </c>
      <c r="G18" s="65">
        <v>253.49100000000001</v>
      </c>
      <c r="H18" s="65"/>
      <c r="I18" s="65">
        <v>2008.5160000000001</v>
      </c>
      <c r="J18" s="33">
        <v>570.50100000000009</v>
      </c>
      <c r="K18" s="33">
        <v>1438.0149999999999</v>
      </c>
      <c r="L18" s="35"/>
      <c r="M18" s="33">
        <v>5057.5169999999989</v>
      </c>
      <c r="N18" s="33">
        <v>117.17600000000002</v>
      </c>
      <c r="O18" s="33">
        <v>4940.3409999999985</v>
      </c>
    </row>
    <row r="19" spans="2:15" x14ac:dyDescent="0.25">
      <c r="B19" s="7" t="s">
        <v>23</v>
      </c>
      <c r="C19" s="65">
        <v>8209.0570000000007</v>
      </c>
      <c r="D19" s="65"/>
      <c r="E19" s="65">
        <v>1333.4779999999996</v>
      </c>
      <c r="F19" s="65">
        <v>929.59699999999975</v>
      </c>
      <c r="G19" s="65">
        <v>403.88099999999997</v>
      </c>
      <c r="H19" s="65"/>
      <c r="I19" s="65">
        <v>791.97700000000009</v>
      </c>
      <c r="J19" s="33">
        <v>28.882000000000001</v>
      </c>
      <c r="K19" s="33">
        <v>763.09500000000014</v>
      </c>
      <c r="L19" s="35"/>
      <c r="M19" s="33">
        <v>6083.6019999999999</v>
      </c>
      <c r="N19" s="33">
        <v>101.38</v>
      </c>
      <c r="O19" s="33">
        <v>5982.2219999999998</v>
      </c>
    </row>
    <row r="20" spans="2:15" x14ac:dyDescent="0.25">
      <c r="B20" s="7" t="s">
        <v>24</v>
      </c>
      <c r="C20" s="65">
        <v>3721.4609999999998</v>
      </c>
      <c r="D20" s="65"/>
      <c r="E20" s="65">
        <v>698.18599999999958</v>
      </c>
      <c r="F20" s="65">
        <v>696.09199999999953</v>
      </c>
      <c r="G20" s="65">
        <v>2.0939999999999999</v>
      </c>
      <c r="H20" s="65"/>
      <c r="I20" s="65">
        <v>744.86599999999999</v>
      </c>
      <c r="J20" s="33">
        <v>214.67200000000003</v>
      </c>
      <c r="K20" s="33">
        <v>530.19399999999996</v>
      </c>
      <c r="L20" s="35"/>
      <c r="M20" s="33">
        <v>2278.4090000000001</v>
      </c>
      <c r="N20" s="33">
        <v>192.13900000000004</v>
      </c>
      <c r="O20" s="33">
        <v>2086.27</v>
      </c>
    </row>
    <row r="21" spans="2:15" x14ac:dyDescent="0.25">
      <c r="B21" s="7" t="s">
        <v>25</v>
      </c>
      <c r="C21" s="65">
        <v>12264.545</v>
      </c>
      <c r="D21" s="65"/>
      <c r="E21" s="65">
        <v>1826.4639999999995</v>
      </c>
      <c r="F21" s="65">
        <v>1118.3959999999995</v>
      </c>
      <c r="G21" s="65">
        <v>708.0680000000001</v>
      </c>
      <c r="H21" s="65"/>
      <c r="I21" s="65">
        <v>1105.5389999999998</v>
      </c>
      <c r="J21" s="33">
        <v>169.51999999999998</v>
      </c>
      <c r="K21" s="33">
        <v>936.01899999999989</v>
      </c>
      <c r="L21" s="35"/>
      <c r="M21" s="33">
        <v>9332.5420000000013</v>
      </c>
      <c r="N21" s="33">
        <v>300.62</v>
      </c>
      <c r="O21" s="33">
        <v>9031.9220000000005</v>
      </c>
    </row>
    <row r="22" spans="2:15" x14ac:dyDescent="0.25">
      <c r="B22" s="7" t="s">
        <v>26</v>
      </c>
      <c r="C22" s="65">
        <v>8931.828000000005</v>
      </c>
      <c r="D22" s="65"/>
      <c r="E22" s="65">
        <v>1335.5899999999997</v>
      </c>
      <c r="F22" s="65">
        <v>949.50899999999979</v>
      </c>
      <c r="G22" s="65">
        <v>386.08100000000002</v>
      </c>
      <c r="H22" s="65"/>
      <c r="I22" s="65">
        <v>1935.9830000000004</v>
      </c>
      <c r="J22" s="33">
        <v>107.21800000000002</v>
      </c>
      <c r="K22" s="33">
        <v>1828.7650000000003</v>
      </c>
      <c r="L22" s="35"/>
      <c r="M22" s="33">
        <v>5660.2550000000047</v>
      </c>
      <c r="N22" s="33">
        <v>162.58200000000005</v>
      </c>
      <c r="O22" s="33">
        <v>5497.6730000000043</v>
      </c>
    </row>
    <row r="23" spans="2:15" x14ac:dyDescent="0.25">
      <c r="B23" s="7" t="s">
        <v>27</v>
      </c>
      <c r="C23" s="65">
        <v>3459.6909999999998</v>
      </c>
      <c r="D23" s="65"/>
      <c r="E23" s="65">
        <v>515.0619999999999</v>
      </c>
      <c r="F23" s="65">
        <v>450.56399999999985</v>
      </c>
      <c r="G23" s="65">
        <v>64.498000000000005</v>
      </c>
      <c r="H23" s="65"/>
      <c r="I23" s="65">
        <v>689.72800000000007</v>
      </c>
      <c r="J23" s="33">
        <v>212.96800000000002</v>
      </c>
      <c r="K23" s="33">
        <v>476.76</v>
      </c>
      <c r="L23" s="35"/>
      <c r="M23" s="33">
        <v>2254.9009999999998</v>
      </c>
      <c r="N23" s="33">
        <v>39.823</v>
      </c>
      <c r="O23" s="33">
        <v>2215.078</v>
      </c>
    </row>
    <row r="24" spans="2:15" x14ac:dyDescent="0.25">
      <c r="B24" s="7" t="s">
        <v>28</v>
      </c>
      <c r="C24" s="65">
        <v>7626.3130000000001</v>
      </c>
      <c r="D24" s="65"/>
      <c r="E24" s="65">
        <v>1683.4029999999998</v>
      </c>
      <c r="F24" s="65">
        <v>1416.8329999999999</v>
      </c>
      <c r="G24" s="65">
        <v>266.57000000000005</v>
      </c>
      <c r="H24" s="65"/>
      <c r="I24" s="65">
        <v>1599.0829999999996</v>
      </c>
      <c r="J24" s="33">
        <v>225.23999999999995</v>
      </c>
      <c r="K24" s="33">
        <v>1373.8429999999996</v>
      </c>
      <c r="L24" s="35"/>
      <c r="M24" s="33">
        <v>4343.8270000000011</v>
      </c>
      <c r="N24" s="33">
        <v>172.80200000000005</v>
      </c>
      <c r="O24" s="33">
        <v>4171.0250000000015</v>
      </c>
    </row>
    <row r="25" spans="2:15" x14ac:dyDescent="0.25">
      <c r="B25" s="7" t="s">
        <v>29</v>
      </c>
      <c r="C25" s="65">
        <v>1095.5949999999998</v>
      </c>
      <c r="D25" s="65"/>
      <c r="E25" s="65">
        <v>128.87099999999998</v>
      </c>
      <c r="F25" s="65">
        <v>88.611999999999995</v>
      </c>
      <c r="G25" s="65">
        <v>40.259</v>
      </c>
      <c r="H25" s="65"/>
      <c r="I25" s="65">
        <v>320.74700000000007</v>
      </c>
      <c r="J25" s="33">
        <v>97.167000000000016</v>
      </c>
      <c r="K25" s="33">
        <v>223.58000000000004</v>
      </c>
      <c r="L25" s="35"/>
      <c r="M25" s="33">
        <v>645.97699999999986</v>
      </c>
      <c r="N25" s="33">
        <v>88.435000000000002</v>
      </c>
      <c r="O25" s="33">
        <v>557.54199999999992</v>
      </c>
    </row>
    <row r="26" spans="2:15" x14ac:dyDescent="0.25">
      <c r="B26" s="7" t="s">
        <v>30</v>
      </c>
      <c r="C26" s="65">
        <v>2090.3909999999996</v>
      </c>
      <c r="D26" s="65"/>
      <c r="E26" s="65">
        <v>399.43099999999998</v>
      </c>
      <c r="F26" s="65">
        <v>399.43099999999998</v>
      </c>
      <c r="G26" s="65">
        <v>0</v>
      </c>
      <c r="H26" s="65"/>
      <c r="I26" s="65">
        <v>340.02099999999996</v>
      </c>
      <c r="J26" s="33">
        <v>87.988</v>
      </c>
      <c r="K26" s="33">
        <v>252.03299999999996</v>
      </c>
      <c r="L26" s="35"/>
      <c r="M26" s="33">
        <v>1350.9389999999996</v>
      </c>
      <c r="N26" s="33">
        <v>6.4050000000000002</v>
      </c>
      <c r="O26" s="33">
        <v>1344.5339999999997</v>
      </c>
    </row>
    <row r="27" spans="2:15" x14ac:dyDescent="0.25">
      <c r="B27" s="7" t="s">
        <v>31</v>
      </c>
      <c r="C27" s="65">
        <v>2949.174</v>
      </c>
      <c r="D27" s="65"/>
      <c r="E27" s="65">
        <v>470.28500000000025</v>
      </c>
      <c r="F27" s="65">
        <v>470.28500000000025</v>
      </c>
      <c r="G27" s="65">
        <v>0</v>
      </c>
      <c r="H27" s="65"/>
      <c r="I27" s="65">
        <v>903.05499999999995</v>
      </c>
      <c r="J27" s="33">
        <v>238.33600000000001</v>
      </c>
      <c r="K27" s="33">
        <v>664.71899999999994</v>
      </c>
      <c r="L27" s="35"/>
      <c r="M27" s="33">
        <v>1575.8340000000001</v>
      </c>
      <c r="N27" s="33">
        <v>157.82499999999999</v>
      </c>
      <c r="O27" s="33">
        <v>1418.009</v>
      </c>
    </row>
    <row r="28" spans="2:15" x14ac:dyDescent="0.25">
      <c r="B28" s="7" t="s">
        <v>32</v>
      </c>
      <c r="C28" s="65">
        <v>3677.1198630000004</v>
      </c>
      <c r="D28" s="65"/>
      <c r="E28" s="65">
        <v>564.58699999999988</v>
      </c>
      <c r="F28" s="65">
        <v>387.32299999999987</v>
      </c>
      <c r="G28" s="65">
        <v>177.26400000000001</v>
      </c>
      <c r="H28" s="65"/>
      <c r="I28" s="65">
        <v>910.84500000000003</v>
      </c>
      <c r="J28" s="33">
        <v>178.78100000000001</v>
      </c>
      <c r="K28" s="33">
        <v>732.06400000000008</v>
      </c>
      <c r="L28" s="35"/>
      <c r="M28" s="33">
        <v>2201.6878630000006</v>
      </c>
      <c r="N28" s="33">
        <v>24.773999999999997</v>
      </c>
      <c r="O28" s="33">
        <v>2176.9138630000007</v>
      </c>
    </row>
    <row r="29" spans="2:15" x14ac:dyDescent="0.25">
      <c r="B29" s="7" t="s">
        <v>34</v>
      </c>
      <c r="C29" s="65">
        <v>8965.8460000600026</v>
      </c>
      <c r="D29" s="65"/>
      <c r="E29" s="65">
        <v>1782.4120000599992</v>
      </c>
      <c r="F29" s="65">
        <v>1669.4910000599991</v>
      </c>
      <c r="G29" s="65">
        <v>112.92099999999999</v>
      </c>
      <c r="H29" s="65"/>
      <c r="I29" s="65">
        <v>636.99599999999987</v>
      </c>
      <c r="J29" s="33">
        <v>170.041</v>
      </c>
      <c r="K29" s="33">
        <v>466.95499999999993</v>
      </c>
      <c r="L29" s="35"/>
      <c r="M29" s="33">
        <v>6546.4380000000037</v>
      </c>
      <c r="N29" s="33">
        <v>374.97300000000007</v>
      </c>
      <c r="O29" s="33">
        <v>6171.4650000000038</v>
      </c>
    </row>
    <row r="30" spans="2:15" x14ac:dyDescent="0.25">
      <c r="B30" s="7" t="s">
        <v>35</v>
      </c>
      <c r="C30" s="65">
        <v>13642.312999999998</v>
      </c>
      <c r="D30" s="65"/>
      <c r="E30" s="65">
        <v>2020.7790000000005</v>
      </c>
      <c r="F30" s="65">
        <v>1807.9170000000004</v>
      </c>
      <c r="G30" s="65">
        <v>212.86199999999999</v>
      </c>
      <c r="H30" s="65"/>
      <c r="I30" s="65">
        <v>2354.1170000000002</v>
      </c>
      <c r="J30" s="33">
        <v>1401.336</v>
      </c>
      <c r="K30" s="33">
        <v>952.78100000000018</v>
      </c>
      <c r="L30" s="35"/>
      <c r="M30" s="33">
        <v>9267.4169999999976</v>
      </c>
      <c r="N30" s="33">
        <v>104.79899999999998</v>
      </c>
      <c r="O30" s="33">
        <v>9162.6179999999968</v>
      </c>
    </row>
    <row r="31" spans="2:15" x14ac:dyDescent="0.25">
      <c r="B31" s="7" t="s">
        <v>36</v>
      </c>
      <c r="C31" s="65">
        <v>5645.1359999999995</v>
      </c>
      <c r="D31" s="65"/>
      <c r="E31" s="65">
        <v>815.07599999999991</v>
      </c>
      <c r="F31" s="65">
        <v>779.92</v>
      </c>
      <c r="G31" s="65">
        <v>35.155999999999999</v>
      </c>
      <c r="H31" s="65"/>
      <c r="I31" s="65">
        <v>965.298</v>
      </c>
      <c r="J31" s="33">
        <v>192.66399999999999</v>
      </c>
      <c r="K31" s="33">
        <v>772.63400000000001</v>
      </c>
      <c r="L31" s="35"/>
      <c r="M31" s="39">
        <v>3864.7619999999997</v>
      </c>
      <c r="N31" s="33">
        <v>40.821999999999996</v>
      </c>
      <c r="O31" s="33">
        <v>3823.9399999999996</v>
      </c>
    </row>
    <row r="32" spans="2:15" x14ac:dyDescent="0.25">
      <c r="B32" s="7" t="s">
        <v>37</v>
      </c>
      <c r="C32" s="65">
        <v>2650.5719999999997</v>
      </c>
      <c r="D32" s="65"/>
      <c r="E32" s="65">
        <v>630.67299999999977</v>
      </c>
      <c r="F32" s="65">
        <v>594.45899999999983</v>
      </c>
      <c r="G32" s="65">
        <v>36.213999999999999</v>
      </c>
      <c r="H32" s="65"/>
      <c r="I32" s="65">
        <v>487.3610000000001</v>
      </c>
      <c r="J32" s="33">
        <v>177.07300000000001</v>
      </c>
      <c r="K32" s="33">
        <v>310.28800000000007</v>
      </c>
      <c r="L32" s="35"/>
      <c r="M32" s="39">
        <v>1532.5379999999998</v>
      </c>
      <c r="N32" s="33">
        <v>297.17000000000007</v>
      </c>
      <c r="O32" s="33">
        <v>1235.3679999999997</v>
      </c>
    </row>
    <row r="33" spans="2:15" x14ac:dyDescent="0.25">
      <c r="B33" s="7" t="s">
        <v>38</v>
      </c>
      <c r="C33" s="65">
        <v>1009.1009999999999</v>
      </c>
      <c r="D33" s="65"/>
      <c r="E33" s="65">
        <v>138.47399999999996</v>
      </c>
      <c r="F33" s="65">
        <v>138.47399999999996</v>
      </c>
      <c r="G33" s="65">
        <v>0</v>
      </c>
      <c r="H33" s="65"/>
      <c r="I33" s="65">
        <v>287.471</v>
      </c>
      <c r="J33" s="33">
        <v>99.025000000000006</v>
      </c>
      <c r="K33" s="33">
        <v>188.446</v>
      </c>
      <c r="L33" s="35"/>
      <c r="M33" s="39">
        <v>583.15599999999995</v>
      </c>
      <c r="N33" s="33">
        <v>39.472999999999999</v>
      </c>
      <c r="O33" s="33">
        <v>543.68299999999999</v>
      </c>
    </row>
    <row r="34" spans="2:15" ht="15.75" thickBot="1" x14ac:dyDescent="0.3">
      <c r="B34" s="204" t="s">
        <v>39</v>
      </c>
      <c r="C34" s="42">
        <v>2689.1389999999997</v>
      </c>
      <c r="D34" s="42"/>
      <c r="E34" s="42">
        <v>392.69699999999995</v>
      </c>
      <c r="F34" s="42">
        <v>219.04799999999994</v>
      </c>
      <c r="G34" s="42">
        <v>173.649</v>
      </c>
      <c r="H34" s="42"/>
      <c r="I34" s="42">
        <v>1311.5319999999997</v>
      </c>
      <c r="J34" s="42">
        <v>40.229999999999997</v>
      </c>
      <c r="K34" s="42">
        <v>1271.3019999999997</v>
      </c>
      <c r="L34" s="42"/>
      <c r="M34" s="42">
        <v>984.91000000000008</v>
      </c>
      <c r="N34" s="42">
        <v>2.3200000000000003</v>
      </c>
      <c r="O34" s="42">
        <v>982.59</v>
      </c>
    </row>
    <row r="35" spans="2:15" ht="7.5" customHeight="1" x14ac:dyDescent="0.25">
      <c r="B35" s="89"/>
      <c r="C35" s="15"/>
      <c r="D35" s="15"/>
      <c r="E35" s="15"/>
      <c r="F35" s="15"/>
      <c r="G35" s="15"/>
      <c r="H35" s="15"/>
      <c r="I35" s="15"/>
      <c r="J35" s="15"/>
      <c r="K35" s="15"/>
      <c r="L35" s="15"/>
      <c r="M35" s="15"/>
      <c r="N35" s="15"/>
      <c r="O35" s="94"/>
    </row>
    <row r="36" spans="2:15" ht="40.5" customHeight="1" x14ac:dyDescent="0.25">
      <c r="B36" s="199" t="s">
        <v>226</v>
      </c>
      <c r="C36" s="199"/>
      <c r="D36" s="199"/>
      <c r="E36" s="199"/>
      <c r="F36" s="199"/>
      <c r="G36" s="199"/>
      <c r="H36" s="199"/>
      <c r="I36" s="199"/>
      <c r="J36" s="199"/>
      <c r="K36" s="199"/>
      <c r="L36" s="199"/>
      <c r="M36" s="199"/>
      <c r="N36" s="199"/>
      <c r="O36" s="199"/>
    </row>
    <row r="37" spans="2:15" ht="15" customHeight="1" x14ac:dyDescent="0.25">
      <c r="B37" s="153" t="s">
        <v>113</v>
      </c>
      <c r="C37" s="153"/>
      <c r="D37" s="153"/>
      <c r="E37" s="153"/>
      <c r="F37" s="153"/>
      <c r="G37" s="153"/>
      <c r="H37" s="153"/>
      <c r="I37" s="153"/>
      <c r="J37" s="153"/>
      <c r="K37" s="153"/>
      <c r="L37" s="153"/>
      <c r="M37" s="153"/>
      <c r="N37" s="153"/>
      <c r="O37" s="153"/>
    </row>
    <row r="38" spans="2:15" ht="16.5" x14ac:dyDescent="0.25">
      <c r="B38" s="71" t="s">
        <v>114</v>
      </c>
      <c r="C38" s="85"/>
      <c r="D38" s="85"/>
      <c r="E38" s="85"/>
      <c r="F38" s="85"/>
      <c r="G38" s="85"/>
      <c r="H38" s="85"/>
      <c r="I38" s="85"/>
      <c r="J38" s="85"/>
      <c r="K38" s="85"/>
      <c r="L38" s="85"/>
      <c r="M38" s="85"/>
      <c r="N38" s="85"/>
      <c r="O38" s="85"/>
    </row>
    <row r="39" spans="2:15" ht="16.5" x14ac:dyDescent="0.25">
      <c r="B39" s="71" t="s">
        <v>43</v>
      </c>
      <c r="C39" s="85"/>
      <c r="D39" s="85"/>
      <c r="E39" s="85"/>
      <c r="F39" s="85"/>
      <c r="G39" s="85"/>
      <c r="H39" s="85"/>
      <c r="I39" s="85"/>
      <c r="J39" s="85"/>
      <c r="K39" s="85"/>
      <c r="L39" s="85"/>
      <c r="M39" s="85"/>
      <c r="N39" s="85"/>
      <c r="O39" s="85"/>
    </row>
  </sheetData>
  <mergeCells count="10">
    <mergeCell ref="B36:O36"/>
    <mergeCell ref="B37:O37"/>
    <mergeCell ref="B3:O3"/>
    <mergeCell ref="B4:O4"/>
    <mergeCell ref="B6:O6"/>
    <mergeCell ref="B7:B8"/>
    <mergeCell ref="C7:C8"/>
    <mergeCell ref="E7:G7"/>
    <mergeCell ref="I7:K7"/>
    <mergeCell ref="M7:O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2023</vt:lpstr>
      <vt:lpstr>2010</vt:lpstr>
      <vt:lpstr>2011</vt:lpstr>
      <vt:lpstr>2012</vt:lpstr>
      <vt:lpstr>2013</vt:lpstr>
      <vt:lpstr>2014</vt:lpstr>
      <vt:lpstr>2015</vt:lpstr>
      <vt:lpstr>2016</vt:lpstr>
      <vt:lpstr>2017</vt:lpstr>
      <vt:lpstr>2018</vt:lpstr>
      <vt:lpstr>2019</vt:lpstr>
      <vt:lpstr>2020</vt:lpstr>
      <vt:lpstr>2021</vt:lpstr>
      <vt:lpstr>2022</vt:lpstr>
      <vt:lpstr>2023 </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Chavez Lazo, Marssela Susann</dc:creator>
  <cp:lastModifiedBy>Chavez Lazo, Marssela Susann</cp:lastModifiedBy>
  <dcterms:created xsi:type="dcterms:W3CDTF">2021-10-21T22:20:21Z</dcterms:created>
  <dcterms:modified xsi:type="dcterms:W3CDTF">2025-11-24T19:09:45Z</dcterms:modified>
</cp:coreProperties>
</file>